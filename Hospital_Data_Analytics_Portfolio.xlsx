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Walter Abaya\Downloads\"/>
    </mc:Choice>
  </mc:AlternateContent>
  <xr:revisionPtr revIDLastSave="0" documentId="13_ncr:1_{32396131-D0BF-42B5-88EB-CE9F2A36C246}" xr6:coauthVersionLast="47" xr6:coauthVersionMax="47" xr10:uidLastSave="{00000000-0000-0000-0000-000000000000}"/>
  <bookViews>
    <workbookView xWindow="13440" yWindow="0" windowWidth="15465" windowHeight="15585" xr2:uid="{00000000-000D-0000-FFFF-FFFF00000000}"/>
  </bookViews>
  <sheets>
    <sheet name="README" sheetId="5" r:id="rId1"/>
    <sheet name="HospitalData" sheetId="1" r:id="rId2"/>
    <sheet name="Dashboard" sheetId="4" r:id="rId3"/>
    <sheet name="Analysis" sheetId="3" r:id="rId4"/>
    <sheet name="Top 10 Diagnoses" sheetId="6" r:id="rId5"/>
    <sheet name="Monthly Admissions Trend" sheetId="7" r:id="rId6"/>
    <sheet name="Monthly Hospital Charges" sheetId="8" r:id="rId7"/>
    <sheet name="Ave LoS by Age Group" sheetId="9" r:id="rId8"/>
    <sheet name="Ave. Hosp. Charges by Age Group" sheetId="10" r:id="rId9"/>
    <sheet name="Admissions by Gender" sheetId="11" r:id="rId10"/>
    <sheet name="Total Hosp. Charges by Dx" sheetId="12" r:id="rId11"/>
    <sheet name="Ave. LoS by Diagnosis" sheetId="13" r:id="rId12"/>
    <sheet name="Px Count by LoS Category" sheetId="14" r:id="rId13"/>
  </sheets>
  <definedNames>
    <definedName name="NativeTimeline_Admission_Date">#N/A</definedName>
    <definedName name="Slicer_Age_Group">#N/A</definedName>
    <definedName name="Slicer_Diagnosis">#N/A</definedName>
    <definedName name="Slicer_Gender">#N/A</definedName>
    <definedName name="Slicer_LoS_Categor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3" l="1"/>
  <c r="B13" i="3"/>
  <c r="B12" i="3"/>
  <c r="B9" i="3"/>
  <c r="M6" i="4" s="1"/>
  <c r="B8" i="3"/>
  <c r="K6" i="4" s="1"/>
  <c r="B5" i="3"/>
  <c r="E6" i="4" s="1"/>
  <c r="B4" i="3"/>
  <c r="C6" i="4" s="1"/>
  <c r="B3" i="3"/>
  <c r="A6" i="4" s="1"/>
  <c r="V1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V14" i="1"/>
  <c r="S2" i="1"/>
  <c r="V18" i="1"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M2" i="1"/>
  <c r="B7" i="3" s="1"/>
  <c r="I6" i="4" s="1"/>
  <c r="M3" i="1"/>
  <c r="M4" i="1"/>
  <c r="M5" i="1"/>
  <c r="M6" i="1"/>
  <c r="R6" i="1" s="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U11" i="1"/>
  <c r="U10" i="1"/>
  <c r="U8" i="1"/>
  <c r="U9" i="1"/>
  <c r="U7" i="1"/>
  <c r="U6" i="1"/>
  <c r="U5" i="1"/>
  <c r="U4" i="1"/>
  <c r="U3"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P2" i="1" l="1"/>
  <c r="B6" i="3"/>
  <c r="G6" i="4" s="1"/>
  <c r="N44" i="1"/>
  <c r="R44" i="1"/>
  <c r="N22" i="1"/>
  <c r="R22" i="1"/>
  <c r="N101" i="1"/>
  <c r="R101" i="1"/>
  <c r="N21" i="1"/>
  <c r="R21" i="1"/>
  <c r="N68" i="1"/>
  <c r="R68" i="1"/>
  <c r="N83" i="1"/>
  <c r="R83" i="1"/>
  <c r="N67" i="1"/>
  <c r="R67" i="1"/>
  <c r="N51" i="1"/>
  <c r="R51" i="1"/>
  <c r="N19" i="1"/>
  <c r="R19" i="1"/>
  <c r="N3" i="1"/>
  <c r="R3" i="1"/>
  <c r="N45" i="1"/>
  <c r="R45" i="1"/>
  <c r="N92" i="1"/>
  <c r="R92" i="1"/>
  <c r="N60" i="1"/>
  <c r="R60" i="1"/>
  <c r="N91" i="1"/>
  <c r="R91" i="1"/>
  <c r="N43" i="1"/>
  <c r="R43" i="1"/>
  <c r="N11" i="1"/>
  <c r="R11" i="1"/>
  <c r="N37" i="1"/>
  <c r="R37" i="1"/>
  <c r="N100" i="1"/>
  <c r="R100" i="1"/>
  <c r="N36" i="1"/>
  <c r="R36" i="1"/>
  <c r="N99" i="1"/>
  <c r="R99" i="1"/>
  <c r="N35" i="1"/>
  <c r="R35" i="1"/>
  <c r="N98" i="1"/>
  <c r="R98" i="1"/>
  <c r="N82" i="1"/>
  <c r="R82" i="1"/>
  <c r="N66" i="1"/>
  <c r="R66" i="1"/>
  <c r="N50" i="1"/>
  <c r="R50" i="1"/>
  <c r="N34" i="1"/>
  <c r="R34" i="1"/>
  <c r="N18" i="1"/>
  <c r="R18" i="1"/>
  <c r="N2" i="1"/>
  <c r="R2" i="1"/>
  <c r="N93" i="1"/>
  <c r="R93" i="1"/>
  <c r="N61" i="1"/>
  <c r="R61" i="1"/>
  <c r="N13" i="1"/>
  <c r="R13" i="1"/>
  <c r="N76" i="1"/>
  <c r="R76" i="1"/>
  <c r="N75" i="1"/>
  <c r="R75" i="1"/>
  <c r="N27" i="1"/>
  <c r="R27" i="1"/>
  <c r="N90" i="1"/>
  <c r="R90" i="1"/>
  <c r="N74" i="1"/>
  <c r="R74" i="1"/>
  <c r="N58" i="1"/>
  <c r="R58" i="1"/>
  <c r="N42" i="1"/>
  <c r="R42" i="1"/>
  <c r="N26" i="1"/>
  <c r="R26" i="1"/>
  <c r="N10" i="1"/>
  <c r="R10" i="1"/>
  <c r="N89" i="1"/>
  <c r="R89" i="1"/>
  <c r="N73" i="1"/>
  <c r="R73" i="1"/>
  <c r="N57" i="1"/>
  <c r="R57" i="1"/>
  <c r="N41" i="1"/>
  <c r="R41" i="1"/>
  <c r="N25" i="1"/>
  <c r="R25" i="1"/>
  <c r="N9" i="1"/>
  <c r="R9" i="1"/>
  <c r="N88" i="1"/>
  <c r="R88" i="1"/>
  <c r="N56" i="1"/>
  <c r="R56" i="1"/>
  <c r="N40" i="1"/>
  <c r="R40" i="1"/>
  <c r="N71" i="1"/>
  <c r="R71" i="1"/>
  <c r="N39" i="1"/>
  <c r="R39" i="1"/>
  <c r="N86" i="1"/>
  <c r="R86" i="1"/>
  <c r="N38" i="1"/>
  <c r="R38" i="1"/>
  <c r="N53" i="1"/>
  <c r="R53" i="1"/>
  <c r="N5" i="1"/>
  <c r="R5" i="1"/>
  <c r="N52" i="1"/>
  <c r="R52" i="1"/>
  <c r="N4" i="1"/>
  <c r="R4" i="1"/>
  <c r="N97" i="1"/>
  <c r="R97" i="1"/>
  <c r="N81" i="1"/>
  <c r="R81" i="1"/>
  <c r="N65" i="1"/>
  <c r="R65" i="1"/>
  <c r="N49" i="1"/>
  <c r="R49" i="1"/>
  <c r="N33" i="1"/>
  <c r="R33" i="1"/>
  <c r="N17" i="1"/>
  <c r="R17" i="1"/>
  <c r="N28" i="1"/>
  <c r="R28" i="1"/>
  <c r="N59" i="1"/>
  <c r="R59" i="1"/>
  <c r="N72" i="1"/>
  <c r="R72" i="1"/>
  <c r="N24" i="1"/>
  <c r="R24" i="1"/>
  <c r="N8" i="1"/>
  <c r="R8" i="1"/>
  <c r="N87" i="1"/>
  <c r="R87" i="1"/>
  <c r="N55" i="1"/>
  <c r="R55" i="1"/>
  <c r="N23" i="1"/>
  <c r="R23" i="1"/>
  <c r="N7" i="1"/>
  <c r="R7" i="1"/>
  <c r="N70" i="1"/>
  <c r="R70" i="1"/>
  <c r="N69" i="1"/>
  <c r="R69" i="1"/>
  <c r="N84" i="1"/>
  <c r="R84" i="1"/>
  <c r="N20" i="1"/>
  <c r="R20" i="1"/>
  <c r="N96" i="1"/>
  <c r="R96" i="1"/>
  <c r="N80" i="1"/>
  <c r="R80" i="1"/>
  <c r="N64" i="1"/>
  <c r="R64" i="1"/>
  <c r="N48" i="1"/>
  <c r="R48" i="1"/>
  <c r="N32" i="1"/>
  <c r="R32" i="1"/>
  <c r="N16" i="1"/>
  <c r="R16" i="1"/>
  <c r="N77" i="1"/>
  <c r="R77" i="1"/>
  <c r="N29" i="1"/>
  <c r="R29" i="1"/>
  <c r="N12" i="1"/>
  <c r="R12" i="1"/>
  <c r="N54" i="1"/>
  <c r="R54" i="1"/>
  <c r="N6" i="1"/>
  <c r="N85" i="1"/>
  <c r="R85" i="1"/>
  <c r="N95" i="1"/>
  <c r="R95" i="1"/>
  <c r="N79" i="1"/>
  <c r="R79" i="1"/>
  <c r="N63" i="1"/>
  <c r="R63" i="1"/>
  <c r="N47" i="1"/>
  <c r="R47" i="1"/>
  <c r="N31" i="1"/>
  <c r="R31" i="1"/>
  <c r="N15" i="1"/>
  <c r="R15" i="1"/>
  <c r="N94" i="1"/>
  <c r="R94" i="1"/>
  <c r="N78" i="1"/>
  <c r="R78" i="1"/>
  <c r="N62" i="1"/>
  <c r="R62" i="1"/>
  <c r="N46" i="1"/>
  <c r="R46" i="1"/>
  <c r="N30" i="1"/>
  <c r="R30" i="1"/>
  <c r="N14" i="1"/>
  <c r="R14" i="1"/>
  <c r="P92" i="1"/>
  <c r="Q92" i="1"/>
  <c r="P44" i="1"/>
  <c r="Q44" i="1"/>
  <c r="P91" i="1"/>
  <c r="Q91" i="1"/>
  <c r="P27" i="1"/>
  <c r="Q27" i="1"/>
  <c r="P42" i="1"/>
  <c r="Q42" i="1"/>
  <c r="P57" i="1"/>
  <c r="Q57" i="1"/>
  <c r="P88" i="1"/>
  <c r="Q88" i="1"/>
  <c r="P72" i="1"/>
  <c r="Q72" i="1"/>
  <c r="P56" i="1"/>
  <c r="Q56" i="1"/>
  <c r="P40" i="1"/>
  <c r="Q40" i="1"/>
  <c r="P24" i="1"/>
  <c r="Q24" i="1"/>
  <c r="P8" i="1"/>
  <c r="Q8" i="1"/>
  <c r="P65" i="1"/>
  <c r="Q65" i="1"/>
  <c r="P90" i="1"/>
  <c r="Q90" i="1"/>
  <c r="P87" i="1"/>
  <c r="Q87" i="1"/>
  <c r="P71" i="1"/>
  <c r="Q71" i="1"/>
  <c r="P55" i="1"/>
  <c r="Q55" i="1"/>
  <c r="P39" i="1"/>
  <c r="Q39" i="1"/>
  <c r="P23" i="1"/>
  <c r="Q23" i="1"/>
  <c r="P7" i="1"/>
  <c r="Q7" i="1"/>
  <c r="P49" i="1"/>
  <c r="Q49" i="1"/>
  <c r="P10" i="1"/>
  <c r="Q10" i="1"/>
  <c r="P9" i="1"/>
  <c r="Q9" i="1"/>
  <c r="P70" i="1"/>
  <c r="Q70" i="1"/>
  <c r="P38" i="1"/>
  <c r="Q38" i="1"/>
  <c r="P101" i="1"/>
  <c r="Q101" i="1"/>
  <c r="P85" i="1"/>
  <c r="Q85" i="1"/>
  <c r="P69" i="1"/>
  <c r="Q69" i="1"/>
  <c r="P53" i="1"/>
  <c r="Q53" i="1"/>
  <c r="P37" i="1"/>
  <c r="Q37" i="1"/>
  <c r="P21" i="1"/>
  <c r="Q21" i="1"/>
  <c r="P5" i="1"/>
  <c r="Q5" i="1"/>
  <c r="P97" i="1"/>
  <c r="Q97" i="1"/>
  <c r="P81" i="1"/>
  <c r="Q81" i="1"/>
  <c r="P64" i="1"/>
  <c r="Q64" i="1"/>
  <c r="P16" i="1"/>
  <c r="Q16" i="1"/>
  <c r="P95" i="1"/>
  <c r="Q95" i="1"/>
  <c r="P63" i="1"/>
  <c r="Q63" i="1"/>
  <c r="P31" i="1"/>
  <c r="Q31" i="1"/>
  <c r="P94" i="1"/>
  <c r="Q94" i="1"/>
  <c r="P62" i="1"/>
  <c r="Q62" i="1"/>
  <c r="P14" i="1"/>
  <c r="Q14" i="1"/>
  <c r="P93" i="1"/>
  <c r="Q93" i="1"/>
  <c r="P61" i="1"/>
  <c r="Q61" i="1"/>
  <c r="P29" i="1"/>
  <c r="Q29" i="1"/>
  <c r="P60" i="1"/>
  <c r="Q60" i="1"/>
  <c r="P28" i="1"/>
  <c r="Q28" i="1"/>
  <c r="P59" i="1"/>
  <c r="Q59" i="1"/>
  <c r="P11" i="1"/>
  <c r="Q11" i="1"/>
  <c r="P58" i="1"/>
  <c r="Q58" i="1"/>
  <c r="P26" i="1"/>
  <c r="Q26" i="1"/>
  <c r="P25" i="1"/>
  <c r="Q25" i="1"/>
  <c r="P6" i="1"/>
  <c r="Q6" i="1"/>
  <c r="P100" i="1"/>
  <c r="Q100" i="1"/>
  <c r="P84" i="1"/>
  <c r="Q84" i="1"/>
  <c r="P68" i="1"/>
  <c r="Q68" i="1"/>
  <c r="P52" i="1"/>
  <c r="Q52" i="1"/>
  <c r="P36" i="1"/>
  <c r="Q36" i="1"/>
  <c r="P20" i="1"/>
  <c r="Q20" i="1"/>
  <c r="P4" i="1"/>
  <c r="Q4" i="1"/>
  <c r="P33" i="1"/>
  <c r="Q33" i="1"/>
  <c r="P96" i="1"/>
  <c r="Q96" i="1"/>
  <c r="P48" i="1"/>
  <c r="Q48" i="1"/>
  <c r="P89" i="1"/>
  <c r="Q89" i="1"/>
  <c r="P41" i="1"/>
  <c r="Q41" i="1"/>
  <c r="P86" i="1"/>
  <c r="Q86" i="1"/>
  <c r="P54" i="1"/>
  <c r="Q54" i="1"/>
  <c r="P22" i="1"/>
  <c r="Q22" i="1"/>
  <c r="P99" i="1"/>
  <c r="Q99" i="1"/>
  <c r="P83" i="1"/>
  <c r="Q83" i="1"/>
  <c r="P67" i="1"/>
  <c r="Q67" i="1"/>
  <c r="P51" i="1"/>
  <c r="Q51" i="1"/>
  <c r="P35" i="1"/>
  <c r="Q35" i="1"/>
  <c r="P19" i="1"/>
  <c r="Q19" i="1"/>
  <c r="P3" i="1"/>
  <c r="Q3" i="1"/>
  <c r="P17" i="1"/>
  <c r="Q17" i="1"/>
  <c r="P80" i="1"/>
  <c r="Q80" i="1"/>
  <c r="P32" i="1"/>
  <c r="Q32" i="1"/>
  <c r="P79" i="1"/>
  <c r="Q79" i="1"/>
  <c r="P47" i="1"/>
  <c r="Q47" i="1"/>
  <c r="P15" i="1"/>
  <c r="Q15" i="1"/>
  <c r="P78" i="1"/>
  <c r="Q78" i="1"/>
  <c r="P46" i="1"/>
  <c r="Q46" i="1"/>
  <c r="P30" i="1"/>
  <c r="Q30" i="1"/>
  <c r="P77" i="1"/>
  <c r="Q77" i="1"/>
  <c r="P45" i="1"/>
  <c r="Q45" i="1"/>
  <c r="P13" i="1"/>
  <c r="Q13" i="1"/>
  <c r="P76" i="1"/>
  <c r="Q76" i="1"/>
  <c r="P12" i="1"/>
  <c r="Q12" i="1"/>
  <c r="P75" i="1"/>
  <c r="Q75" i="1"/>
  <c r="P43" i="1"/>
  <c r="Q43" i="1"/>
  <c r="P74" i="1"/>
  <c r="Q74" i="1"/>
  <c r="P73" i="1"/>
  <c r="Q73" i="1"/>
  <c r="P98" i="1"/>
  <c r="Q98" i="1"/>
  <c r="P82" i="1"/>
  <c r="Q82" i="1"/>
  <c r="P66" i="1"/>
  <c r="Q66" i="1"/>
  <c r="P50" i="1"/>
  <c r="Q50" i="1"/>
  <c r="P34" i="1"/>
  <c r="Q34" i="1"/>
  <c r="P18" i="1"/>
  <c r="Q18" i="1"/>
  <c r="Q2" i="1"/>
  <c r="V17" i="1" l="1"/>
  <c r="B25" i="3"/>
  <c r="B24" i="3"/>
  <c r="B27" i="3"/>
  <c r="B26" i="3"/>
  <c r="B20" i="3"/>
  <c r="B19" i="3"/>
  <c r="B18" i="3"/>
  <c r="B17" i="3"/>
  <c r="B21" i="3"/>
  <c r="V16" i="1"/>
</calcChain>
</file>

<file path=xl/sharedStrings.xml><?xml version="1.0" encoding="utf-8"?>
<sst xmlns="http://schemas.openxmlformats.org/spreadsheetml/2006/main" count="965" uniqueCount="384">
  <si>
    <t>Patient ID</t>
  </si>
  <si>
    <t>Patient Name</t>
  </si>
  <si>
    <t>Date of Birth</t>
  </si>
  <si>
    <t>Gender</t>
  </si>
  <si>
    <t>Diagnosis</t>
  </si>
  <si>
    <t>Procedure</t>
  </si>
  <si>
    <t>Provider</t>
  </si>
  <si>
    <t>Admission Date</t>
  </si>
  <si>
    <t>Discharge Date</t>
  </si>
  <si>
    <t>Total Charges</t>
  </si>
  <si>
    <t>Insurance</t>
  </si>
  <si>
    <t>PAT-000001</t>
  </si>
  <si>
    <t>Christopher Johnson</t>
  </si>
  <si>
    <t>Female</t>
  </si>
  <si>
    <t>Type 2 Diabetes</t>
  </si>
  <si>
    <t>Glucose Monitoring</t>
  </si>
  <si>
    <t>Dr. Jackson</t>
  </si>
  <si>
    <t>Medicare</t>
  </si>
  <si>
    <t>PAT-000002</t>
  </si>
  <si>
    <t>Barbara Scott</t>
  </si>
  <si>
    <t>Back Pain</t>
  </si>
  <si>
    <t>Physical Therapy</t>
  </si>
  <si>
    <t>Dr. Rodriguez</t>
  </si>
  <si>
    <t>Medicaid</t>
  </si>
  <si>
    <t>PAT-000003</t>
  </si>
  <si>
    <t>Susan Jackson</t>
  </si>
  <si>
    <t>Male</t>
  </si>
  <si>
    <t>Heart Disease</t>
  </si>
  <si>
    <t>Cardiac Catheterization</t>
  </si>
  <si>
    <t>Dr. Anderson</t>
  </si>
  <si>
    <t>PAT-000004</t>
  </si>
  <si>
    <t>Joshua Thomas</t>
  </si>
  <si>
    <t>Arthritis</t>
  </si>
  <si>
    <t>Joint Assessment</t>
  </si>
  <si>
    <t>Dr. Williams</t>
  </si>
  <si>
    <t>PAT-000005</t>
  </si>
  <si>
    <t>Daniel Williams</t>
  </si>
  <si>
    <t>Asthma</t>
  </si>
  <si>
    <t>Pulmonary Function Test</t>
  </si>
  <si>
    <t>Blue Cross</t>
  </si>
  <si>
    <t>PAT-000006</t>
  </si>
  <si>
    <t>Jennifer Young</t>
  </si>
  <si>
    <t>Fracture</t>
  </si>
  <si>
    <t>Casting/Surgery</t>
  </si>
  <si>
    <t>Dr. Miller</t>
  </si>
  <si>
    <t>Aetna</t>
  </si>
  <si>
    <t>PAT-000007</t>
  </si>
  <si>
    <t>Charles Anderson</t>
  </si>
  <si>
    <t>Bronchitis</t>
  </si>
  <si>
    <t>Respiratory Treatment</t>
  </si>
  <si>
    <t>PAT-000008</t>
  </si>
  <si>
    <t>Betty Martinez</t>
  </si>
  <si>
    <t>Dr. Jones</t>
  </si>
  <si>
    <t>Cigna</t>
  </si>
  <si>
    <t>PAT-000009</t>
  </si>
  <si>
    <t>David Flores</t>
  </si>
  <si>
    <t>PAT-000010</t>
  </si>
  <si>
    <t>John Nguyen</t>
  </si>
  <si>
    <t>UTI</t>
  </si>
  <si>
    <t>Urinalysis + Antibiotics</t>
  </si>
  <si>
    <t>Dr. Garcia</t>
  </si>
  <si>
    <t>PAT-000011</t>
  </si>
  <si>
    <t>Betty Thompson</t>
  </si>
  <si>
    <t>Self-Pay</t>
  </si>
  <si>
    <t>PAT-000012</t>
  </si>
  <si>
    <t>Jennifer Jones</t>
  </si>
  <si>
    <t>Migraine</t>
  </si>
  <si>
    <t>Neurological Assessment</t>
  </si>
  <si>
    <t>Dr. Thomas</t>
  </si>
  <si>
    <t>UnitedHealth</t>
  </si>
  <si>
    <t>PAT-000013</t>
  </si>
  <si>
    <t>Jessica Sanchez</t>
  </si>
  <si>
    <t>Skin Infection</t>
  </si>
  <si>
    <t>Dermatological Treatment</t>
  </si>
  <si>
    <t>Dr. Martin</t>
  </si>
  <si>
    <t>PAT-000014</t>
  </si>
  <si>
    <t>Margaret Rodriguez</t>
  </si>
  <si>
    <t>Dr. Kim</t>
  </si>
  <si>
    <t>PAT-000015</t>
  </si>
  <si>
    <t>Dorothy Jones</t>
  </si>
  <si>
    <t>Appendicitis</t>
  </si>
  <si>
    <t>Appendectomy</t>
  </si>
  <si>
    <t>PAT-000016</t>
  </si>
  <si>
    <t>Donald Taylor</t>
  </si>
  <si>
    <t>Hypertension</t>
  </si>
  <si>
    <t>Blood Pressure Management</t>
  </si>
  <si>
    <t>PAT-000017</t>
  </si>
  <si>
    <t>Patricia Jackson</t>
  </si>
  <si>
    <t>PAT-000018</t>
  </si>
  <si>
    <t>Emily Walker</t>
  </si>
  <si>
    <t>PAT-000019</t>
  </si>
  <si>
    <t>Thomas Flores</t>
  </si>
  <si>
    <t>Dr. Martinez</t>
  </si>
  <si>
    <t>PAT-000020</t>
  </si>
  <si>
    <t>Michael Williams</t>
  </si>
  <si>
    <t>PAT-000021</t>
  </si>
  <si>
    <t>William Jackson</t>
  </si>
  <si>
    <t>Allergies</t>
  </si>
  <si>
    <t>Allergy Testing</t>
  </si>
  <si>
    <t>PAT-000022</t>
  </si>
  <si>
    <t>Charles Wright</t>
  </si>
  <si>
    <t>Pneumonia</t>
  </si>
  <si>
    <t>Chest X-Ray + Treatment</t>
  </si>
  <si>
    <t>PAT-000023</t>
  </si>
  <si>
    <t>Lisa Anderson</t>
  </si>
  <si>
    <t>PAT-000024</t>
  </si>
  <si>
    <t>William Allen</t>
  </si>
  <si>
    <t>Dr. Taylor</t>
  </si>
  <si>
    <t>PAT-000025</t>
  </si>
  <si>
    <t>Karen Robinson</t>
  </si>
  <si>
    <t>Depression</t>
  </si>
  <si>
    <t>Psychiatric Evaluation</t>
  </si>
  <si>
    <t>PAT-000026</t>
  </si>
  <si>
    <t>William Jones</t>
  </si>
  <si>
    <t>Other</t>
  </si>
  <si>
    <t>Dr. Smith</t>
  </si>
  <si>
    <t>PAT-000027</t>
  </si>
  <si>
    <t>Mary Davis</t>
  </si>
  <si>
    <t>PAT-000028</t>
  </si>
  <si>
    <t>Patricia Johnson</t>
  </si>
  <si>
    <t>Dr. Wilson</t>
  </si>
  <si>
    <t>PAT-000029</t>
  </si>
  <si>
    <t>James Clark</t>
  </si>
  <si>
    <t>PAT-000030</t>
  </si>
  <si>
    <t>Jessica Thompson</t>
  </si>
  <si>
    <t>PAT-000031</t>
  </si>
  <si>
    <t>Jennifer Harris</t>
  </si>
  <si>
    <t>PAT-000032</t>
  </si>
  <si>
    <t>Elizabeth Ramirez</t>
  </si>
  <si>
    <t>Dr. Johnson</t>
  </si>
  <si>
    <t>PAT-000033</t>
  </si>
  <si>
    <t>Dorothy Brown</t>
  </si>
  <si>
    <t>PAT-000034</t>
  </si>
  <si>
    <t>Patricia Flores</t>
  </si>
  <si>
    <t>PAT-000035</t>
  </si>
  <si>
    <t>Michael Sanchez</t>
  </si>
  <si>
    <t>PAT-000036</t>
  </si>
  <si>
    <t>Robert Lopez</t>
  </si>
  <si>
    <t>PAT-000037</t>
  </si>
  <si>
    <t>Anthony Lopez</t>
  </si>
  <si>
    <t>Dr. Moore</t>
  </si>
  <si>
    <t>PAT-000038</t>
  </si>
  <si>
    <t>Joshua Harris</t>
  </si>
  <si>
    <t>PAT-000039</t>
  </si>
  <si>
    <t>Patricia Ramirez</t>
  </si>
  <si>
    <t>Dr. Brown</t>
  </si>
  <si>
    <t>PAT-000040</t>
  </si>
  <si>
    <t>PAT-000041</t>
  </si>
  <si>
    <t>Andrew Sanchez</t>
  </si>
  <si>
    <t>PAT-000042</t>
  </si>
  <si>
    <t>John Hernandez</t>
  </si>
  <si>
    <t>PAT-000043</t>
  </si>
  <si>
    <t>Joshua Williams</t>
  </si>
  <si>
    <t>PAT-000044</t>
  </si>
  <si>
    <t>Joseph Scott</t>
  </si>
  <si>
    <t>PAT-000045</t>
  </si>
  <si>
    <t>Donald Hill</t>
  </si>
  <si>
    <t>PAT-000046</t>
  </si>
  <si>
    <t>Robert Anderson</t>
  </si>
  <si>
    <t>Dr. Chen</t>
  </si>
  <si>
    <t>PAT-000047</t>
  </si>
  <si>
    <t>Christopher Anderson</t>
  </si>
  <si>
    <t>PAT-000048</t>
  </si>
  <si>
    <t>Elizabeth Miller</t>
  </si>
  <si>
    <t>Dr. Davis</t>
  </si>
  <si>
    <t>PAT-000049</t>
  </si>
  <si>
    <t>Karen Martinez</t>
  </si>
  <si>
    <t>PAT-000050</t>
  </si>
  <si>
    <t>Daniel Lee</t>
  </si>
  <si>
    <t>PAT-000051</t>
  </si>
  <si>
    <t>William Rodriguez</t>
  </si>
  <si>
    <t>PAT-000052</t>
  </si>
  <si>
    <t>Lisa Moore</t>
  </si>
  <si>
    <t>PAT-000053</t>
  </si>
  <si>
    <t>Kimberly Anderson</t>
  </si>
  <si>
    <t>PAT-000054</t>
  </si>
  <si>
    <t>Anthony Jones</t>
  </si>
  <si>
    <t>PAT-000055</t>
  </si>
  <si>
    <t>Karen Sanchez</t>
  </si>
  <si>
    <t>PAT-000056</t>
  </si>
  <si>
    <t>Jessica Johnson</t>
  </si>
  <si>
    <t>PAT-000057</t>
  </si>
  <si>
    <t>Robert Sanchez</t>
  </si>
  <si>
    <t>PAT-000058</t>
  </si>
  <si>
    <t>Donald Scott</t>
  </si>
  <si>
    <t>PAT-000059</t>
  </si>
  <si>
    <t>Christopher Wilson</t>
  </si>
  <si>
    <t>PAT-000060</t>
  </si>
  <si>
    <t>David Davis</t>
  </si>
  <si>
    <t>PAT-000061</t>
  </si>
  <si>
    <t>Nancy Hill</t>
  </si>
  <si>
    <t>PAT-000062</t>
  </si>
  <si>
    <t>Richard White</t>
  </si>
  <si>
    <t>PAT-000063</t>
  </si>
  <si>
    <t>John Moore</t>
  </si>
  <si>
    <t>PAT-000064</t>
  </si>
  <si>
    <t>Patricia Smith</t>
  </si>
  <si>
    <t>PAT-000065</t>
  </si>
  <si>
    <t>Charles Jackson</t>
  </si>
  <si>
    <t>PAT-000066</t>
  </si>
  <si>
    <t>Karen Hill</t>
  </si>
  <si>
    <t>PAT-000067</t>
  </si>
  <si>
    <t>Andrew Allen</t>
  </si>
  <si>
    <t>PAT-000068</t>
  </si>
  <si>
    <t>Joshua Sanchez</t>
  </si>
  <si>
    <t>PAT-000069</t>
  </si>
  <si>
    <t>James Harris</t>
  </si>
  <si>
    <t>PAT-000070</t>
  </si>
  <si>
    <t>Emily Harris</t>
  </si>
  <si>
    <t>PAT-000071</t>
  </si>
  <si>
    <t>Matthew Martin</t>
  </si>
  <si>
    <t>PAT-000072</t>
  </si>
  <si>
    <t>PAT-000073</t>
  </si>
  <si>
    <t>Lisa Johnson</t>
  </si>
  <si>
    <t>PAT-000074</t>
  </si>
  <si>
    <t>Donna Allen</t>
  </si>
  <si>
    <t>PAT-000075</t>
  </si>
  <si>
    <t>PAT-000076</t>
  </si>
  <si>
    <t>Patricia Harris</t>
  </si>
  <si>
    <t>PAT-000077</t>
  </si>
  <si>
    <t>Donna Scott</t>
  </si>
  <si>
    <t>PAT-000078</t>
  </si>
  <si>
    <t>Patricia Jones</t>
  </si>
  <si>
    <t>PAT-000079</t>
  </si>
  <si>
    <t>William Wright</t>
  </si>
  <si>
    <t>PAT-000080</t>
  </si>
  <si>
    <t>Karen Lopez</t>
  </si>
  <si>
    <t>PAT-000081</t>
  </si>
  <si>
    <t>Robert Young</t>
  </si>
  <si>
    <t>PAT-000082</t>
  </si>
  <si>
    <t>Dorothy Perez</t>
  </si>
  <si>
    <t>PAT-000083</t>
  </si>
  <si>
    <t>Joseph Wright</t>
  </si>
  <si>
    <t>PAT-000084</t>
  </si>
  <si>
    <t>Sandra Anderson</t>
  </si>
  <si>
    <t>PAT-000085</t>
  </si>
  <si>
    <t>Steven Gonzalez</t>
  </si>
  <si>
    <t>PAT-000086</t>
  </si>
  <si>
    <t>James Walker</t>
  </si>
  <si>
    <t>Dr. Patel</t>
  </si>
  <si>
    <t>PAT-000087</t>
  </si>
  <si>
    <t>Sandra Martin</t>
  </si>
  <si>
    <t>PAT-000088</t>
  </si>
  <si>
    <t>Donald Garcia</t>
  </si>
  <si>
    <t>PAT-000089</t>
  </si>
  <si>
    <t>Michael Rodriguez</t>
  </si>
  <si>
    <t>PAT-000090</t>
  </si>
  <si>
    <t>John Young</t>
  </si>
  <si>
    <t>PAT-000091</t>
  </si>
  <si>
    <t>Anthony Nguyen</t>
  </si>
  <si>
    <t>PAT-000092</t>
  </si>
  <si>
    <t>Lisa Scott</t>
  </si>
  <si>
    <t>PAT-000093</t>
  </si>
  <si>
    <t>Elizabeth Robinson</t>
  </si>
  <si>
    <t>PAT-000094</t>
  </si>
  <si>
    <t>Paul White</t>
  </si>
  <si>
    <t>PAT-000095</t>
  </si>
  <si>
    <t>Christopher Hernandez</t>
  </si>
  <si>
    <t>PAT-000096</t>
  </si>
  <si>
    <t>Ashley Anderson</t>
  </si>
  <si>
    <t>PAT-000097</t>
  </si>
  <si>
    <t>Margaret Brown</t>
  </si>
  <si>
    <t>PAT-000098</t>
  </si>
  <si>
    <t>Mark Harris</t>
  </si>
  <si>
    <t>PAT-000099</t>
  </si>
  <si>
    <t>Margaret Clark</t>
  </si>
  <si>
    <t>PAT-000100</t>
  </si>
  <si>
    <t>Richard Harris</t>
  </si>
  <si>
    <t>Duplicate Check</t>
  </si>
  <si>
    <t>BLANK CELLS</t>
  </si>
  <si>
    <t>PATIENT ID</t>
  </si>
  <si>
    <t>GENDER</t>
  </si>
  <si>
    <t>DIAGNOSIS</t>
  </si>
  <si>
    <t>ADM DATE</t>
  </si>
  <si>
    <t>DISC DATE</t>
  </si>
  <si>
    <t>TOTAL CHARGES</t>
  </si>
  <si>
    <t>DATE OF BIRTH</t>
  </si>
  <si>
    <t>Length of Stay</t>
  </si>
  <si>
    <t>LoS Check</t>
  </si>
  <si>
    <t>Patient Age</t>
  </si>
  <si>
    <t>Age Check</t>
  </si>
  <si>
    <t>Age Group</t>
  </si>
  <si>
    <t>LoS Category</t>
  </si>
  <si>
    <t>Charges Check</t>
  </si>
  <si>
    <t>SUMMARY:</t>
  </si>
  <si>
    <t>Duplicate Patient IDs</t>
  </si>
  <si>
    <t>Invalid Dates</t>
  </si>
  <si>
    <t>Invalid Length of Stay</t>
  </si>
  <si>
    <t>Invalid Patient Age</t>
  </si>
  <si>
    <t>Invalid Charges</t>
  </si>
  <si>
    <t>Date Check</t>
  </si>
  <si>
    <t>Hospital Data Analysis</t>
  </si>
  <si>
    <t>Total Patients</t>
  </si>
  <si>
    <t>Total Admissions</t>
  </si>
  <si>
    <t>Total Discharges</t>
  </si>
  <si>
    <t>Average Patient Age</t>
  </si>
  <si>
    <t>Average Length of Stay</t>
  </si>
  <si>
    <t>Total Hospital Charges</t>
  </si>
  <si>
    <t>Average Hospital Charges</t>
  </si>
  <si>
    <t>Patient Count</t>
  </si>
  <si>
    <t>Infant</t>
  </si>
  <si>
    <t>Child</t>
  </si>
  <si>
    <t>Adolescent</t>
  </si>
  <si>
    <t>Adult</t>
  </si>
  <si>
    <t>Senior</t>
  </si>
  <si>
    <t>Same Day</t>
  </si>
  <si>
    <t>8+ Days</t>
  </si>
  <si>
    <t>1-3 Days</t>
  </si>
  <si>
    <t>4-7 Days</t>
  </si>
  <si>
    <t>Row Labels</t>
  </si>
  <si>
    <t>Grand Total</t>
  </si>
  <si>
    <t>Count of Diagnosis</t>
  </si>
  <si>
    <t>Top 10 Diagnoses by Patient Count</t>
  </si>
  <si>
    <t>Count of Patient ID</t>
  </si>
  <si>
    <t>Jan</t>
  </si>
  <si>
    <t>Feb</t>
  </si>
  <si>
    <t>Mar</t>
  </si>
  <si>
    <t>Apr</t>
  </si>
  <si>
    <t>May</t>
  </si>
  <si>
    <t>Jun</t>
  </si>
  <si>
    <t>Jul</t>
  </si>
  <si>
    <t>Aug</t>
  </si>
  <si>
    <t>Sep</t>
  </si>
  <si>
    <t>Oct</t>
  </si>
  <si>
    <t>Nov</t>
  </si>
  <si>
    <t>Dec</t>
  </si>
  <si>
    <t>2024</t>
  </si>
  <si>
    <t>2025</t>
  </si>
  <si>
    <t>2026</t>
  </si>
  <si>
    <t>Monthly Admissions Trend</t>
  </si>
  <si>
    <t>Sum of Total Charges</t>
  </si>
  <si>
    <t>Monthly Hospital Charges</t>
  </si>
  <si>
    <t>Average of Length of Stay</t>
  </si>
  <si>
    <t>Average Length of Stay by Age Group</t>
  </si>
  <si>
    <t>Average of Total Charges</t>
  </si>
  <si>
    <t>Average Hospital Charges by Age Group</t>
  </si>
  <si>
    <t>Admissions by Gender</t>
  </si>
  <si>
    <t>Total Hospital Charges by Diagnosis</t>
  </si>
  <si>
    <t>Average Length of Stay by Diagnosis</t>
  </si>
  <si>
    <t>Patient Count by Length of Stay Category</t>
  </si>
  <si>
    <t>Hospital Data Analytics Dashboard</t>
  </si>
  <si>
    <t>Patient Demographics | Admissions | Hospital Utilization | Financial Analysis</t>
  </si>
  <si>
    <t>Hospital Data Analytics - Excel Portfolio Project</t>
  </si>
  <si>
    <t>Project Overview</t>
  </si>
  <si>
    <t>This project demonstrates the use of Microsoft Excel to clean, validate, analyze, and visualize hospital patient data through an interactive analytics dashboard.</t>
  </si>
  <si>
    <t>Skills Demonstrated:</t>
  </si>
  <si>
    <t>• Data Cleaning &amp; Validation
• Excel Tables &amp; Structured References
• Excel Formulas &amp; Functions
• PivotTables &amp; PivotCharts
• Data Analysis
• Dashboard Development
• Interactive Slicers &amp; Timeline
• Data Visualization</t>
  </si>
  <si>
    <t>Project Workflow</t>
  </si>
  <si>
    <t>1. Data Preparation — Reviewed and validated patient, admission, discharge, demographic, and financial data.</t>
  </si>
  <si>
    <t>2. Data Quality — Checked duplicate records, dates, patient age, length of stay, and hospital charges.</t>
  </si>
  <si>
    <t>3. Data Analysis — Calculated patient volume, admissions, discharges, age, length of stay, and hospital charges.</t>
  </si>
  <si>
    <t>4. Trend &amp; Category Analysis — Analyzed diagnoses, gender, age groups, length-of-stay categories, and monthly trends.</t>
  </si>
  <si>
    <t>5. Visualization — Created PivotCharts and an interactive hospital analytics dashboard.</t>
  </si>
  <si>
    <t>6. Interactivity — Added slicers and an Admission Date timeline for dynamic filtering.</t>
  </si>
  <si>
    <t>Excel Techniques Used</t>
  </si>
  <si>
    <t>Excel Tables</t>
  </si>
  <si>
    <t>Data Validation &amp; Data Quality Checks</t>
  </si>
  <si>
    <t>COUNTIF / COUNTA / SUM / AVERAGE</t>
  </si>
  <si>
    <t>IF / DATEDIF / AND / OR</t>
  </si>
  <si>
    <t>PivotTables</t>
  </si>
  <si>
    <t>PivotCharts</t>
  </si>
  <si>
    <t>Slicers &amp; Timeline Filters</t>
  </si>
  <si>
    <t>Dashboard Design &amp; Data Visualization</t>
  </si>
  <si>
    <t>Business Questions Answered</t>
  </si>
  <si>
    <t>• How many patients were admitted and discharged?</t>
  </si>
  <si>
    <t>• What is the average patient age and length of stay?</t>
  </si>
  <si>
    <t>• Which diagnoses have the highest number of patients?</t>
  </si>
  <si>
    <t>• Which diagnoses generate the highest hospital charges?</t>
  </si>
  <si>
    <t>• How do admissions and hospital charges change over time?</t>
  </si>
  <si>
    <t>• How does length of stay differ across age groups?</t>
  </si>
  <si>
    <t>• What is the distribution of patients by gender, age group, and length of stay?</t>
  </si>
  <si>
    <t>Tools Used</t>
  </si>
  <si>
    <t>Microsoft Excel</t>
  </si>
  <si>
    <t>PivotTables &amp; PivotCharts</t>
  </si>
  <si>
    <t>Excel Formulas &amp; Functions</t>
  </si>
  <si>
    <t>Interactive Slicers &amp; Timeline</t>
  </si>
  <si>
    <t>Project Output</t>
  </si>
  <si>
    <t>Interactive Hospital Data Analytics Dashboard</t>
  </si>
  <si>
    <t>Portfolio Note</t>
  </si>
  <si>
    <t>This project is created for portfolio and educational purposes to demonstrate Excel data analysis, visualization, and dashboard development skills.</t>
  </si>
  <si>
    <t>Dashboard</t>
  </si>
  <si>
    <t>Data Quality</t>
  </si>
  <si>
    <t>Analysis</t>
  </si>
  <si>
    <t>README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</si>
</sst>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quot;₱&quot;#,##0.00"/>
    <numFmt numFmtId="166" formatCode="0.0"/>
  </numFmts>
  <fonts count="9" x14ac:knownFonts="1">
    <font>
      <sz val="12"/>
      <color theme="1"/>
      <name val="Calibri"/>
      <family val="2"/>
      <scheme val="minor"/>
    </font>
    <font>
      <b/>
      <sz val="12"/>
      <color theme="1"/>
      <name val="Calibri"/>
      <family val="2"/>
      <scheme val="minor"/>
    </font>
    <font>
      <b/>
      <sz val="18"/>
      <color theme="1"/>
      <name val="Calibri"/>
      <family val="2"/>
      <scheme val="minor"/>
    </font>
    <font>
      <b/>
      <sz val="24"/>
      <color theme="1"/>
      <name val="Calibri"/>
      <family val="2"/>
      <scheme val="minor"/>
    </font>
    <font>
      <b/>
      <sz val="10"/>
      <color theme="1"/>
      <name val="Calibri"/>
      <family val="2"/>
      <scheme val="minor"/>
    </font>
    <font>
      <i/>
      <sz val="11"/>
      <color theme="1"/>
      <name val="Calibri"/>
      <family val="2"/>
      <scheme val="minor"/>
    </font>
    <font>
      <b/>
      <sz val="14"/>
      <color theme="1"/>
      <name val="Calibri"/>
      <family val="2"/>
      <scheme val="minor"/>
    </font>
    <font>
      <b/>
      <sz val="20"/>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16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applyAlignment="1">
      <alignment horizontal="left" indent="1"/>
    </xf>
    <xf numFmtId="165" fontId="0" fillId="0" borderId="0" xfId="0" applyNumberFormat="1"/>
    <xf numFmtId="2" fontId="0" fillId="0" borderId="0" xfId="0" applyNumberFormat="1"/>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8" fillId="0" borderId="0" xfId="1"/>
    <xf numFmtId="0" fontId="0" fillId="0" borderId="0" xfId="0" applyNumberFormat="1"/>
    <xf numFmtId="0" fontId="6"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Font="1" applyFill="1" applyAlignment="1">
      <alignment horizontal="center" vertical="center"/>
    </xf>
  </cellXfs>
  <cellStyles count="2">
    <cellStyle name="Hyperlink" xfId="1" builtinId="8"/>
    <cellStyle name="Normal" xfId="0" builtinId="0"/>
  </cellStyles>
  <dxfs count="23">
    <dxf>
      <numFmt numFmtId="2" formatCode="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m/dd/yyyy;@"/>
    </dxf>
    <dxf>
      <numFmt numFmtId="164" formatCode="mm/dd/yyyy;@"/>
    </dxf>
    <dxf>
      <numFmt numFmtId="164" formatCode="mm/dd/yyyy;@"/>
    </dxf>
    <dxf>
      <numFmt numFmtId="164" formatCode="mm/dd/yyyy;@"/>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[Hospital_Data_Analytics_Portfolio.xlsx]Monthly Admissions Trend!PivotTable2</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Monthly Admissions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Admissions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Admissions Trend'!$A$4:$A$30</c:f>
              <c:multiLvlStrCache>
                <c:ptCount val="23"/>
                <c:lvl>
                  <c:pt idx="0">
                    <c:v>Oct</c:v>
                  </c:pt>
                  <c:pt idx="1">
                    <c:v>Nov</c:v>
                  </c:pt>
                  <c:pt idx="2">
                    <c:v>Dec</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lvl>
                <c:lvl>
                  <c:pt idx="0">
                    <c:v>2024</c:v>
                  </c:pt>
                  <c:pt idx="3">
                    <c:v>2025</c:v>
                  </c:pt>
                  <c:pt idx="14">
                    <c:v>2026</c:v>
                  </c:pt>
                </c:lvl>
              </c:multiLvlStrCache>
            </c:multiLvlStrRef>
          </c:cat>
          <c:val>
            <c:numRef>
              <c:f>'Monthly Admissions Trend'!$B$4:$B$30</c:f>
              <c:numCache>
                <c:formatCode>General</c:formatCode>
                <c:ptCount val="23"/>
                <c:pt idx="0">
                  <c:v>5</c:v>
                </c:pt>
                <c:pt idx="1">
                  <c:v>6</c:v>
                </c:pt>
                <c:pt idx="2">
                  <c:v>4</c:v>
                </c:pt>
                <c:pt idx="3">
                  <c:v>3</c:v>
                </c:pt>
                <c:pt idx="4">
                  <c:v>3</c:v>
                </c:pt>
                <c:pt idx="5">
                  <c:v>2</c:v>
                </c:pt>
                <c:pt idx="6">
                  <c:v>3</c:v>
                </c:pt>
                <c:pt idx="7">
                  <c:v>5</c:v>
                </c:pt>
                <c:pt idx="8">
                  <c:v>6</c:v>
                </c:pt>
                <c:pt idx="9">
                  <c:v>7</c:v>
                </c:pt>
                <c:pt idx="10">
                  <c:v>4</c:v>
                </c:pt>
                <c:pt idx="11">
                  <c:v>2</c:v>
                </c:pt>
                <c:pt idx="12">
                  <c:v>4</c:v>
                </c:pt>
                <c:pt idx="13">
                  <c:v>9</c:v>
                </c:pt>
                <c:pt idx="14">
                  <c:v>2</c:v>
                </c:pt>
                <c:pt idx="15">
                  <c:v>1</c:v>
                </c:pt>
                <c:pt idx="16">
                  <c:v>5</c:v>
                </c:pt>
                <c:pt idx="17">
                  <c:v>9</c:v>
                </c:pt>
                <c:pt idx="18">
                  <c:v>4</c:v>
                </c:pt>
                <c:pt idx="19">
                  <c:v>6</c:v>
                </c:pt>
                <c:pt idx="20">
                  <c:v>3</c:v>
                </c:pt>
                <c:pt idx="21">
                  <c:v>2</c:v>
                </c:pt>
                <c:pt idx="22">
                  <c:v>5</c:v>
                </c:pt>
              </c:numCache>
            </c:numRef>
          </c:val>
          <c:smooth val="0"/>
          <c:extLst>
            <c:ext xmlns:c16="http://schemas.microsoft.com/office/drawing/2014/chart" uri="{C3380CC4-5D6E-409C-BE32-E72D297353CC}">
              <c16:uniqueId val="{00000000-9588-412A-9746-12CCA9BD6AE4}"/>
            </c:ext>
          </c:extLst>
        </c:ser>
        <c:dLbls>
          <c:showLegendKey val="0"/>
          <c:showVal val="0"/>
          <c:showCatName val="0"/>
          <c:showSerName val="0"/>
          <c:showPercent val="0"/>
          <c:showBubbleSize val="0"/>
        </c:dLbls>
        <c:marker val="1"/>
        <c:smooth val="0"/>
        <c:axId val="590824248"/>
        <c:axId val="590825816"/>
      </c:lineChart>
      <c:catAx>
        <c:axId val="59082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25816"/>
        <c:crosses val="autoZero"/>
        <c:auto val="1"/>
        <c:lblAlgn val="ctr"/>
        <c:lblOffset val="100"/>
        <c:noMultiLvlLbl val="0"/>
      </c:catAx>
      <c:valAx>
        <c:axId val="59082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2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[Hospital_Data_Analytics_Portfolio.xlsx]Top 10 Diagnoses!PivotTable1</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Top</a:t>
            </a:r>
            <a:r>
              <a:rPr lang="en-PH" sz="1200" baseline="0"/>
              <a:t> 10 Diagnoses by Patient Count</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Diagnoses'!$B$3</c:f>
              <c:strCache>
                <c:ptCount val="1"/>
                <c:pt idx="0">
                  <c:v>Total</c:v>
                </c:pt>
              </c:strCache>
            </c:strRef>
          </c:tx>
          <c:spPr>
            <a:solidFill>
              <a:schemeClr val="accent1"/>
            </a:solidFill>
            <a:ln>
              <a:noFill/>
            </a:ln>
            <a:effectLst/>
          </c:spPr>
          <c:invertIfNegative val="0"/>
          <c:cat>
            <c:strRef>
              <c:f>'Top 10 Diagnoses'!$A$4:$A$19</c:f>
              <c:strCache>
                <c:ptCount val="15"/>
                <c:pt idx="0">
                  <c:v>Depression</c:v>
                </c:pt>
                <c:pt idx="1">
                  <c:v>Appendicitis</c:v>
                </c:pt>
                <c:pt idx="2">
                  <c:v>Fracture</c:v>
                </c:pt>
                <c:pt idx="3">
                  <c:v>Type 2 Diabetes</c:v>
                </c:pt>
                <c:pt idx="4">
                  <c:v>Arthritis</c:v>
                </c:pt>
                <c:pt idx="5">
                  <c:v>Skin Infection</c:v>
                </c:pt>
                <c:pt idx="6">
                  <c:v>Pneumonia</c:v>
                </c:pt>
                <c:pt idx="7">
                  <c:v>Back Pain</c:v>
                </c:pt>
                <c:pt idx="8">
                  <c:v>Bronchitis</c:v>
                </c:pt>
                <c:pt idx="9">
                  <c:v>Allergies</c:v>
                </c:pt>
                <c:pt idx="10">
                  <c:v>Heart Disease</c:v>
                </c:pt>
                <c:pt idx="11">
                  <c:v>UTI</c:v>
                </c:pt>
                <c:pt idx="12">
                  <c:v>Migraine</c:v>
                </c:pt>
                <c:pt idx="13">
                  <c:v>Asthma</c:v>
                </c:pt>
                <c:pt idx="14">
                  <c:v>Hypertension</c:v>
                </c:pt>
              </c:strCache>
            </c:strRef>
          </c:cat>
          <c:val>
            <c:numRef>
              <c:f>'Top 10 Diagnoses'!$B$4:$B$19</c:f>
              <c:numCache>
                <c:formatCode>General</c:formatCode>
                <c:ptCount val="15"/>
                <c:pt idx="0">
                  <c:v>10</c:v>
                </c:pt>
                <c:pt idx="1">
                  <c:v>9</c:v>
                </c:pt>
                <c:pt idx="2">
                  <c:v>9</c:v>
                </c:pt>
                <c:pt idx="3">
                  <c:v>8</c:v>
                </c:pt>
                <c:pt idx="4">
                  <c:v>8</c:v>
                </c:pt>
                <c:pt idx="5">
                  <c:v>7</c:v>
                </c:pt>
                <c:pt idx="6">
                  <c:v>7</c:v>
                </c:pt>
                <c:pt idx="7">
                  <c:v>7</c:v>
                </c:pt>
                <c:pt idx="8">
                  <c:v>6</c:v>
                </c:pt>
                <c:pt idx="9">
                  <c:v>6</c:v>
                </c:pt>
                <c:pt idx="10">
                  <c:v>6</c:v>
                </c:pt>
                <c:pt idx="11">
                  <c:v>5</c:v>
                </c:pt>
                <c:pt idx="12">
                  <c:v>5</c:v>
                </c:pt>
                <c:pt idx="13">
                  <c:v>4</c:v>
                </c:pt>
                <c:pt idx="14">
                  <c:v>3</c:v>
                </c:pt>
              </c:numCache>
            </c:numRef>
          </c:val>
          <c:extLst>
            <c:ext xmlns:c16="http://schemas.microsoft.com/office/drawing/2014/chart" uri="{C3380CC4-5D6E-409C-BE32-E72D297353CC}">
              <c16:uniqueId val="{00000000-DE27-467C-9718-FDD393031078}"/>
            </c:ext>
          </c:extLst>
        </c:ser>
        <c:dLbls>
          <c:showLegendKey val="0"/>
          <c:showVal val="0"/>
          <c:showCatName val="0"/>
          <c:showSerName val="0"/>
          <c:showPercent val="0"/>
          <c:showBubbleSize val="0"/>
        </c:dLbls>
        <c:gapWidth val="182"/>
        <c:axId val="573191520"/>
        <c:axId val="573189168"/>
      </c:barChart>
      <c:catAx>
        <c:axId val="57319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89168"/>
        <c:crosses val="autoZero"/>
        <c:auto val="1"/>
        <c:lblAlgn val="ctr"/>
        <c:lblOffset val="100"/>
        <c:noMultiLvlLbl val="0"/>
      </c:catAx>
      <c:valAx>
        <c:axId val="57318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9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Patient Distribution</a:t>
            </a:r>
            <a:r>
              <a:rPr lang="en-PH" sz="1200" baseline="0"/>
              <a:t> by Gender</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pieChart>
        <c:varyColors val="1"/>
        <c:ser>
          <c:idx val="0"/>
          <c:order val="0"/>
          <c:tx>
            <c:strRef>
              <c:f>Analysis!$B$11</c:f>
              <c:strCache>
                <c:ptCount val="1"/>
                <c:pt idx="0">
                  <c:v>Patient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1F-4A6B-9559-ECBB3EE2E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1F-4A6B-9559-ECBB3EE2E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1F-4A6B-9559-ECBB3EE2E71E}"/>
              </c:ext>
            </c:extLst>
          </c:dPt>
          <c:cat>
            <c:strRef>
              <c:f>Analysis!$A$12:$A$14</c:f>
              <c:strCache>
                <c:ptCount val="3"/>
                <c:pt idx="0">
                  <c:v>Male</c:v>
                </c:pt>
                <c:pt idx="1">
                  <c:v>Female</c:v>
                </c:pt>
                <c:pt idx="2">
                  <c:v>Other</c:v>
                </c:pt>
              </c:strCache>
            </c:strRef>
          </c:cat>
          <c:val>
            <c:numRef>
              <c:f>Analysis!$B$12:$B$14</c:f>
              <c:numCache>
                <c:formatCode>General</c:formatCode>
                <c:ptCount val="3"/>
                <c:pt idx="0">
                  <c:v>44</c:v>
                </c:pt>
                <c:pt idx="1">
                  <c:v>51</c:v>
                </c:pt>
                <c:pt idx="2">
                  <c:v>5</c:v>
                </c:pt>
              </c:numCache>
            </c:numRef>
          </c:val>
          <c:extLst>
            <c:ext xmlns:c16="http://schemas.microsoft.com/office/drawing/2014/chart" uri="{C3380CC4-5D6E-409C-BE32-E72D297353CC}">
              <c16:uniqueId val="{00000006-C01F-4A6B-9559-ECBB3EE2E71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Patient</a:t>
            </a:r>
            <a:r>
              <a:rPr lang="en-PH" sz="1200" baseline="0"/>
              <a:t> Distribution by Age Group</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Analysis!$B$16</c:f>
              <c:strCache>
                <c:ptCount val="1"/>
                <c:pt idx="0">
                  <c:v>Patient Count</c:v>
                </c:pt>
              </c:strCache>
            </c:strRef>
          </c:tx>
          <c:spPr>
            <a:solidFill>
              <a:schemeClr val="accent1"/>
            </a:solidFill>
            <a:ln>
              <a:noFill/>
            </a:ln>
            <a:effectLst/>
          </c:spPr>
          <c:invertIfNegative val="0"/>
          <c:cat>
            <c:strRef>
              <c:f>Analysis!$A$17:$A$21</c:f>
              <c:strCache>
                <c:ptCount val="5"/>
                <c:pt idx="0">
                  <c:v>Infant</c:v>
                </c:pt>
                <c:pt idx="1">
                  <c:v>Child</c:v>
                </c:pt>
                <c:pt idx="2">
                  <c:v>Adolescent</c:v>
                </c:pt>
                <c:pt idx="3">
                  <c:v>Adult</c:v>
                </c:pt>
                <c:pt idx="4">
                  <c:v>Senior</c:v>
                </c:pt>
              </c:strCache>
            </c:strRef>
          </c:cat>
          <c:val>
            <c:numRef>
              <c:f>Analysis!$B$17:$B$21</c:f>
              <c:numCache>
                <c:formatCode>General</c:formatCode>
                <c:ptCount val="5"/>
                <c:pt idx="0">
                  <c:v>2</c:v>
                </c:pt>
                <c:pt idx="1">
                  <c:v>16</c:v>
                </c:pt>
                <c:pt idx="2">
                  <c:v>7</c:v>
                </c:pt>
                <c:pt idx="3">
                  <c:v>41</c:v>
                </c:pt>
                <c:pt idx="4">
                  <c:v>34</c:v>
                </c:pt>
              </c:numCache>
            </c:numRef>
          </c:val>
          <c:extLst>
            <c:ext xmlns:c16="http://schemas.microsoft.com/office/drawing/2014/chart" uri="{C3380CC4-5D6E-409C-BE32-E72D297353CC}">
              <c16:uniqueId val="{00000000-4849-4B9F-A98D-B802326BB1F0}"/>
            </c:ext>
          </c:extLst>
        </c:ser>
        <c:dLbls>
          <c:showLegendKey val="0"/>
          <c:showVal val="0"/>
          <c:showCatName val="0"/>
          <c:showSerName val="0"/>
          <c:showPercent val="0"/>
          <c:showBubbleSize val="0"/>
        </c:dLbls>
        <c:gapWidth val="219"/>
        <c:overlap val="-27"/>
        <c:axId val="564974216"/>
        <c:axId val="564969904"/>
      </c:barChart>
      <c:catAx>
        <c:axId val="56497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9904"/>
        <c:crosses val="autoZero"/>
        <c:auto val="1"/>
        <c:lblAlgn val="ctr"/>
        <c:lblOffset val="100"/>
        <c:noMultiLvlLbl val="0"/>
      </c:catAx>
      <c:valAx>
        <c:axId val="5649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74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Patient Distribution</a:t>
            </a:r>
            <a:r>
              <a:rPr lang="en-PH" sz="1200" baseline="0"/>
              <a:t> by Length of Stay</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Analysis!$B$23</c:f>
              <c:strCache>
                <c:ptCount val="1"/>
                <c:pt idx="0">
                  <c:v>Patient Count</c:v>
                </c:pt>
              </c:strCache>
            </c:strRef>
          </c:tx>
          <c:spPr>
            <a:solidFill>
              <a:schemeClr val="accent1"/>
            </a:solidFill>
            <a:ln>
              <a:noFill/>
            </a:ln>
            <a:effectLst/>
          </c:spPr>
          <c:invertIfNegative val="0"/>
          <c:cat>
            <c:strRef>
              <c:f>Analysis!$A$24:$A$27</c:f>
              <c:strCache>
                <c:ptCount val="4"/>
                <c:pt idx="0">
                  <c:v>Same Day</c:v>
                </c:pt>
                <c:pt idx="1">
                  <c:v>1-3 Days</c:v>
                </c:pt>
                <c:pt idx="2">
                  <c:v>4-7 Days</c:v>
                </c:pt>
                <c:pt idx="3">
                  <c:v>8+ Days</c:v>
                </c:pt>
              </c:strCache>
            </c:strRef>
          </c:cat>
          <c:val>
            <c:numRef>
              <c:f>Analysis!$B$24:$B$27</c:f>
              <c:numCache>
                <c:formatCode>General</c:formatCode>
                <c:ptCount val="4"/>
                <c:pt idx="0">
                  <c:v>0</c:v>
                </c:pt>
                <c:pt idx="1">
                  <c:v>16</c:v>
                </c:pt>
                <c:pt idx="2">
                  <c:v>32</c:v>
                </c:pt>
                <c:pt idx="3">
                  <c:v>52</c:v>
                </c:pt>
              </c:numCache>
            </c:numRef>
          </c:val>
          <c:extLst>
            <c:ext xmlns:c16="http://schemas.microsoft.com/office/drawing/2014/chart" uri="{C3380CC4-5D6E-409C-BE32-E72D297353CC}">
              <c16:uniqueId val="{00000000-AFA5-4EF1-B6D6-F2F1F93BB182}"/>
            </c:ext>
          </c:extLst>
        </c:ser>
        <c:dLbls>
          <c:showLegendKey val="0"/>
          <c:showVal val="0"/>
          <c:showCatName val="0"/>
          <c:showSerName val="0"/>
          <c:showPercent val="0"/>
          <c:showBubbleSize val="0"/>
        </c:dLbls>
        <c:gapWidth val="219"/>
        <c:overlap val="-27"/>
        <c:axId val="417106632"/>
        <c:axId val="417102712"/>
      </c:barChart>
      <c:catAx>
        <c:axId val="41710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02712"/>
        <c:crosses val="autoZero"/>
        <c:auto val="1"/>
        <c:lblAlgn val="ctr"/>
        <c:lblOffset val="100"/>
        <c:noMultiLvlLbl val="0"/>
      </c:catAx>
      <c:valAx>
        <c:axId val="417102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06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[Hospital_Data_Analytics_Portfolio.xlsx]Monthly Hospital Charges!PivotTable3</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Monthly</a:t>
            </a:r>
            <a:r>
              <a:rPr lang="en-PH" sz="1200" baseline="0"/>
              <a:t> Hospital Charges</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Hospital Charges'!$B$3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Hospital Charges'!$A$4:$A$30</c:f>
              <c:multiLvlStrCache>
                <c:ptCount val="23"/>
                <c:lvl>
                  <c:pt idx="0">
                    <c:v>Oct</c:v>
                  </c:pt>
                  <c:pt idx="1">
                    <c:v>Nov</c:v>
                  </c:pt>
                  <c:pt idx="2">
                    <c:v>Dec</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lvl>
                <c:lvl>
                  <c:pt idx="0">
                    <c:v>2024</c:v>
                  </c:pt>
                  <c:pt idx="3">
                    <c:v>2025</c:v>
                  </c:pt>
                  <c:pt idx="14">
                    <c:v>2026</c:v>
                  </c:pt>
                </c:lvl>
              </c:multiLvlStrCache>
            </c:multiLvlStrRef>
          </c:cat>
          <c:val>
            <c:numRef>
              <c:f>'Monthly Hospital Charges'!$B$4:$B$30</c:f>
              <c:numCache>
                <c:formatCode>"₱"#,##0.00</c:formatCode>
                <c:ptCount val="23"/>
                <c:pt idx="0">
                  <c:v>37745.32</c:v>
                </c:pt>
                <c:pt idx="1">
                  <c:v>58369.37000000001</c:v>
                </c:pt>
                <c:pt idx="2">
                  <c:v>5971.86</c:v>
                </c:pt>
                <c:pt idx="3">
                  <c:v>12920.41</c:v>
                </c:pt>
                <c:pt idx="4">
                  <c:v>5712.16</c:v>
                </c:pt>
                <c:pt idx="5">
                  <c:v>6912.92</c:v>
                </c:pt>
                <c:pt idx="6">
                  <c:v>7416.9</c:v>
                </c:pt>
                <c:pt idx="7">
                  <c:v>27342.909999999996</c:v>
                </c:pt>
                <c:pt idx="8">
                  <c:v>44730.270000000004</c:v>
                </c:pt>
                <c:pt idx="9">
                  <c:v>95881.430000000008</c:v>
                </c:pt>
                <c:pt idx="10">
                  <c:v>13252.2</c:v>
                </c:pt>
                <c:pt idx="11">
                  <c:v>18218</c:v>
                </c:pt>
                <c:pt idx="12">
                  <c:v>33538.090000000004</c:v>
                </c:pt>
                <c:pt idx="13">
                  <c:v>37184.93</c:v>
                </c:pt>
                <c:pt idx="14">
                  <c:v>22030.78</c:v>
                </c:pt>
                <c:pt idx="15">
                  <c:v>2657.06</c:v>
                </c:pt>
                <c:pt idx="16">
                  <c:v>8167.93</c:v>
                </c:pt>
                <c:pt idx="17">
                  <c:v>92136.38</c:v>
                </c:pt>
                <c:pt idx="18">
                  <c:v>7662.91</c:v>
                </c:pt>
                <c:pt idx="19">
                  <c:v>42012.99</c:v>
                </c:pt>
                <c:pt idx="20">
                  <c:v>5152.28</c:v>
                </c:pt>
                <c:pt idx="21">
                  <c:v>13771.11</c:v>
                </c:pt>
                <c:pt idx="22">
                  <c:v>28267.05</c:v>
                </c:pt>
              </c:numCache>
            </c:numRef>
          </c:val>
          <c:smooth val="0"/>
          <c:extLst>
            <c:ext xmlns:c16="http://schemas.microsoft.com/office/drawing/2014/chart" uri="{C3380CC4-5D6E-409C-BE32-E72D297353CC}">
              <c16:uniqueId val="{00000000-7F2D-4A8E-B0D5-F63C99EDA8F7}"/>
            </c:ext>
          </c:extLst>
        </c:ser>
        <c:dLbls>
          <c:showLegendKey val="0"/>
          <c:showVal val="0"/>
          <c:showCatName val="0"/>
          <c:showSerName val="0"/>
          <c:showPercent val="0"/>
          <c:showBubbleSize val="0"/>
        </c:dLbls>
        <c:marker val="1"/>
        <c:smooth val="0"/>
        <c:axId val="417936664"/>
        <c:axId val="417939016"/>
      </c:lineChart>
      <c:catAx>
        <c:axId val="41793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39016"/>
        <c:crosses val="autoZero"/>
        <c:auto val="1"/>
        <c:lblAlgn val="ctr"/>
        <c:lblOffset val="100"/>
        <c:noMultiLvlLbl val="0"/>
      </c:catAx>
      <c:valAx>
        <c:axId val="417939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36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[Hospital_Data_Analytics_Portfolio.xlsx]Ave LoS by Age Group!PivotTable4</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a:t>Average</a:t>
            </a:r>
            <a:r>
              <a:rPr lang="en-PH" sz="1200" baseline="0"/>
              <a:t> Length of Stay by Age Group</a:t>
            </a:r>
            <a:endParaRPr lang="en-PH"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 LoS by Age Group'!$B$3</c:f>
              <c:strCache>
                <c:ptCount val="1"/>
                <c:pt idx="0">
                  <c:v>Total</c:v>
                </c:pt>
              </c:strCache>
            </c:strRef>
          </c:tx>
          <c:spPr>
            <a:solidFill>
              <a:schemeClr val="accent1"/>
            </a:solidFill>
            <a:ln>
              <a:noFill/>
            </a:ln>
            <a:effectLst/>
          </c:spPr>
          <c:invertIfNegative val="0"/>
          <c:cat>
            <c:strRef>
              <c:f>'Ave LoS by Age Group'!$A$4:$A$9</c:f>
              <c:strCache>
                <c:ptCount val="5"/>
                <c:pt idx="0">
                  <c:v>Adolescent</c:v>
                </c:pt>
                <c:pt idx="1">
                  <c:v>Adult</c:v>
                </c:pt>
                <c:pt idx="2">
                  <c:v>Child</c:v>
                </c:pt>
                <c:pt idx="3">
                  <c:v>Infant</c:v>
                </c:pt>
                <c:pt idx="4">
                  <c:v>Senior</c:v>
                </c:pt>
              </c:strCache>
            </c:strRef>
          </c:cat>
          <c:val>
            <c:numRef>
              <c:f>'Ave LoS by Age Group'!$B$4:$B$9</c:f>
              <c:numCache>
                <c:formatCode>0.00</c:formatCode>
                <c:ptCount val="5"/>
                <c:pt idx="0">
                  <c:v>7</c:v>
                </c:pt>
                <c:pt idx="1">
                  <c:v>7.7073170731707314</c:v>
                </c:pt>
                <c:pt idx="2">
                  <c:v>9.0625</c:v>
                </c:pt>
                <c:pt idx="3">
                  <c:v>11</c:v>
                </c:pt>
                <c:pt idx="4">
                  <c:v>7.3529411764705879</c:v>
                </c:pt>
              </c:numCache>
            </c:numRef>
          </c:val>
          <c:extLst>
            <c:ext xmlns:c16="http://schemas.microsoft.com/office/drawing/2014/chart" uri="{C3380CC4-5D6E-409C-BE32-E72D297353CC}">
              <c16:uniqueId val="{00000000-0222-48D8-B55E-BC5B8E2216E9}"/>
            </c:ext>
          </c:extLst>
        </c:ser>
        <c:dLbls>
          <c:showLegendKey val="0"/>
          <c:showVal val="0"/>
          <c:showCatName val="0"/>
          <c:showSerName val="0"/>
          <c:showPercent val="0"/>
          <c:showBubbleSize val="0"/>
        </c:dLbls>
        <c:gapWidth val="182"/>
        <c:axId val="590826992"/>
        <c:axId val="590820328"/>
      </c:barChart>
      <c:catAx>
        <c:axId val="59082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20328"/>
        <c:crosses val="autoZero"/>
        <c:auto val="1"/>
        <c:lblAlgn val="ctr"/>
        <c:lblOffset val="100"/>
        <c:noMultiLvlLbl val="0"/>
      </c:catAx>
      <c:valAx>
        <c:axId val="5908203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2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95249</xdr:colOff>
      <xdr:row>9</xdr:row>
      <xdr:rowOff>85725</xdr:rowOff>
    </xdr:from>
    <xdr:to>
      <xdr:col>7</xdr:col>
      <xdr:colOff>619124</xdr:colOff>
      <xdr:row>22</xdr:row>
      <xdr:rowOff>85725</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71437</xdr:colOff>
      <xdr:row>9</xdr:row>
      <xdr:rowOff>95251</xdr:rowOff>
    </xdr:from>
    <xdr:to>
      <xdr:col>13</xdr:col>
      <xdr:colOff>638175</xdr:colOff>
      <xdr:row>22</xdr:row>
      <xdr:rowOff>85725</xdr:rowOff>
    </xdr:to>
    <xdr:graphicFrame macro="">
      <xdr:nvGraphicFramePr>
        <xdr:cNvPr id="3" name="Chart 1">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24</xdr:row>
      <xdr:rowOff>123825</xdr:rowOff>
    </xdr:from>
    <xdr:to>
      <xdr:col>5</xdr:col>
      <xdr:colOff>600075</xdr:colOff>
      <xdr:row>37</xdr:row>
      <xdr:rowOff>114299</xdr:rowOff>
    </xdr:to>
    <xdr:graphicFrame macro="">
      <xdr:nvGraphicFramePr>
        <xdr:cNvPr id="4" name="Chart 2">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119061</xdr:colOff>
      <xdr:row>24</xdr:row>
      <xdr:rowOff>133350</xdr:rowOff>
    </xdr:from>
    <xdr:to>
      <xdr:col>13</xdr:col>
      <xdr:colOff>504824</xdr:colOff>
      <xdr:row>37</xdr:row>
      <xdr:rowOff>76200</xdr:rowOff>
    </xdr:to>
    <xdr:graphicFrame macro="">
      <xdr:nvGraphicFramePr>
        <xdr:cNvPr id="5" name="Chart 3">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119062</xdr:colOff>
      <xdr:row>39</xdr:row>
      <xdr:rowOff>57150</xdr:rowOff>
    </xdr:from>
    <xdr:to>
      <xdr:col>5</xdr:col>
      <xdr:colOff>600075</xdr:colOff>
      <xdr:row>52</xdr:row>
      <xdr:rowOff>133350</xdr:rowOff>
    </xdr:to>
    <xdr:graphicFrame macro="">
      <xdr:nvGraphicFramePr>
        <xdr:cNvPr id="6" name="Chart 4">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100011</xdr:colOff>
      <xdr:row>54</xdr:row>
      <xdr:rowOff>47625</xdr:rowOff>
    </xdr:from>
    <xdr:to>
      <xdr:col>13</xdr:col>
      <xdr:colOff>571500</xdr:colOff>
      <xdr:row>67</xdr:row>
      <xdr:rowOff>85725</xdr:rowOff>
    </xdr:to>
    <xdr:graphicFrame macro="">
      <xdr:nvGraphicFramePr>
        <xdr:cNvPr id="7" name="Chart 1">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90487</xdr:colOff>
      <xdr:row>39</xdr:row>
      <xdr:rowOff>76200</xdr:rowOff>
    </xdr:from>
    <xdr:to>
      <xdr:col>13</xdr:col>
      <xdr:colOff>552450</xdr:colOff>
      <xdr:row>52</xdr:row>
      <xdr:rowOff>114300</xdr:rowOff>
    </xdr:to>
    <xdr:graphicFrame macro="">
      <xdr:nvGraphicFramePr>
        <xdr:cNvPr id="8" name="Chart 1">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85725</xdr:colOff>
      <xdr:row>0</xdr:row>
      <xdr:rowOff>57150</xdr:rowOff>
    </xdr:from>
    <xdr:to>
      <xdr:col>16</xdr:col>
      <xdr:colOff>542925</xdr:colOff>
      <xdr:row>13</xdr:row>
      <xdr:rowOff>123825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10725" y="57150"/>
              <a:ext cx="1817914" cy="272006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14</xdr:row>
      <xdr:rowOff>76200</xdr:rowOff>
    </xdr:from>
    <xdr:to>
      <xdr:col>16</xdr:col>
      <xdr:colOff>542925</xdr:colOff>
      <xdr:row>27</xdr:row>
      <xdr:rowOff>142875</xdr:rowOff>
    </xdr:to>
    <mc:AlternateContent xmlns:mc="http://schemas.openxmlformats.org/markup-compatibility/2006" xmlns:a14="http://schemas.microsoft.com/office/drawing/2010/main">
      <mc:Choice Requires="a14">
        <xdr:graphicFrame macro="">
          <xdr:nvGraphicFramePr>
            <xdr:cNvPr id="10" name="Diagnosis">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9610725" y="2933700"/>
              <a:ext cx="1817914" cy="272006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66675</xdr:colOff>
      <xdr:row>0</xdr:row>
      <xdr:rowOff>57150</xdr:rowOff>
    </xdr:from>
    <xdr:to>
      <xdr:col>19</xdr:col>
      <xdr:colOff>523875</xdr:colOff>
      <xdr:row>13</xdr:row>
      <xdr:rowOff>123825</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632746" y="57150"/>
              <a:ext cx="1817915" cy="272006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xdr:colOff>
      <xdr:row>14</xdr:row>
      <xdr:rowOff>76200</xdr:rowOff>
    </xdr:from>
    <xdr:to>
      <xdr:col>19</xdr:col>
      <xdr:colOff>514350</xdr:colOff>
      <xdr:row>27</xdr:row>
      <xdr:rowOff>142875</xdr:rowOff>
    </xdr:to>
    <mc:AlternateContent xmlns:mc="http://schemas.openxmlformats.org/markup-compatibility/2006" xmlns:a14="http://schemas.microsoft.com/office/drawing/2010/main">
      <mc:Choice Requires="a14">
        <xdr:graphicFrame macro="">
          <xdr:nvGraphicFramePr>
            <xdr:cNvPr id="12" name="LoS Category">
              <a:extLst>
                <a:ext uri="{FF2B5EF4-FFF2-40B4-BE49-F238E27FC236}">
                  <a16:creationId xmlns:a16="http://schemas.microsoft.com/office/drawing/2014/main" id="{00000000-0008-0000-0D00-00000C000000}"/>
                </a:ext>
              </a:extLst>
            </xdr:cNvPr>
            <xdr:cNvGraphicFramePr/>
          </xdr:nvGraphicFramePr>
          <xdr:xfrm>
            <a:off x="0" y="0"/>
            <a:ext cx="0" cy="0"/>
          </xdr:xfrm>
          <a:graphic>
            <a:graphicData uri="http://schemas.microsoft.com/office/drawing/2010/slicer">
              <sle:slicer xmlns:sle="http://schemas.microsoft.com/office/drawing/2010/slicer" name="LoS Category"/>
            </a:graphicData>
          </a:graphic>
        </xdr:graphicFrame>
      </mc:Choice>
      <mc:Fallback xmlns="">
        <xdr:sp macro="" textlink="">
          <xdr:nvSpPr>
            <xdr:cNvPr id="0" name=""/>
            <xdr:cNvSpPr>
              <a:spLocks noTextEdit="1"/>
            </xdr:cNvSpPr>
          </xdr:nvSpPr>
          <xdr:spPr>
            <a:xfrm>
              <a:off x="11623221" y="2933700"/>
              <a:ext cx="1817915" cy="272006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95249</xdr:colOff>
      <xdr:row>28</xdr:row>
      <xdr:rowOff>95250</xdr:rowOff>
    </xdr:from>
    <xdr:to>
      <xdr:col>19</xdr:col>
      <xdr:colOff>523875</xdr:colOff>
      <xdr:row>35</xdr:row>
      <xdr:rowOff>66675</xdr:rowOff>
    </xdr:to>
    <mc:AlternateContent xmlns:mc="http://schemas.openxmlformats.org/markup-compatibility/2006" xmlns:tsle="http://schemas.microsoft.com/office/drawing/2012/timeslicer">
      <mc:Choice Requires="tsle">
        <xdr:graphicFrame macro="">
          <xdr:nvGraphicFramePr>
            <xdr:cNvPr id="13" name="Admission Date">
              <a:extLst>
                <a:ext uri="{FF2B5EF4-FFF2-40B4-BE49-F238E27FC236}">
                  <a16:creationId xmlns:a16="http://schemas.microsoft.com/office/drawing/2014/main" id="{00000000-0008-0000-0D00-00000D000000}"/>
                </a:ext>
              </a:extLst>
            </xdr:cNvPr>
            <xdr:cNvGraphicFramePr/>
          </xdr:nvGraphicFramePr>
          <xdr:xfrm>
            <a:off x="0" y="0"/>
            <a:ext cx="0" cy="0"/>
          </xdr:xfrm>
          <a:graphic>
            <a:graphicData uri="http://schemas.microsoft.com/office/drawing/2012/timeslicer">
              <tsle:timeslicer name="Admission Date"/>
            </a:graphicData>
          </a:graphic>
        </xdr:graphicFrame>
      </mc:Choice>
      <mc:Fallback xmlns="">
        <xdr:sp macro="" textlink="">
          <xdr:nvSpPr>
            <xdr:cNvPr id="0" name=""/>
            <xdr:cNvSpPr>
              <a:spLocks noTextEdit="1"/>
            </xdr:cNvSpPr>
          </xdr:nvSpPr>
          <xdr:spPr>
            <a:xfrm>
              <a:off x="9620249" y="5810250"/>
              <a:ext cx="3830412" cy="1400175"/>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lou Dalisay" refreshedDate="46301.010436226854" createdVersion="5" refreshedVersion="5" minRefreshableVersion="3" recordCount="100" xr:uid="{00000000-000A-0000-FFFF-FFFF16000000}">
  <cacheSource type="worksheet">
    <worksheetSource name="HospitalData"/>
  </cacheSource>
  <cacheFields count="20">
    <cacheField name="Patient ID" numFmtId="0">
      <sharedItems/>
    </cacheField>
    <cacheField name="Patient Name" numFmtId="0">
      <sharedItems count="97">
        <s v="Christopher Johnson"/>
        <s v="Barbara Scott"/>
        <s v="Susan Jackson"/>
        <s v="Joshua Thomas"/>
        <s v="Daniel Williams"/>
        <s v="Jennifer Young"/>
        <s v="Charles Anderson"/>
        <s v="Betty Martinez"/>
        <s v="David Flores"/>
        <s v="John Nguyen"/>
        <s v="Betty Thompson"/>
        <s v="Jennifer Jones"/>
        <s v="Jessica Sanchez"/>
        <s v="Margaret Rodriguez"/>
        <s v="Dorothy Jones"/>
        <s v="Donald Taylor"/>
        <s v="Patricia Jackson"/>
        <s v="Emily Walker"/>
        <s v="Thomas Flores"/>
        <s v="Michael Williams"/>
        <s v="William Jackson"/>
        <s v="Charles Wright"/>
        <s v="Lisa Anderson"/>
        <s v="William Allen"/>
        <s v="Karen Robinson"/>
        <s v="William Jones"/>
        <s v="Mary Davis"/>
        <s v="Patricia Johnson"/>
        <s v="James Clark"/>
        <s v="Jessica Thompson"/>
        <s v="Jennifer Harris"/>
        <s v="Elizabeth Ramirez"/>
        <s v="Dorothy Brown"/>
        <s v="Patricia Flores"/>
        <s v="Michael Sanchez"/>
        <s v="Robert Lopez"/>
        <s v="Anthony Lopez"/>
        <s v="Joshua Harris"/>
        <s v="Patricia Ramirez"/>
        <s v="Andrew Sanchez"/>
        <s v="John Hernandez"/>
        <s v="Joshua Williams"/>
        <s v="Joseph Scott"/>
        <s v="Donald Hill"/>
        <s v="Robert Anderson"/>
        <s v="Christopher Anderson"/>
        <s v="Elizabeth Miller"/>
        <s v="Karen Martinez"/>
        <s v="Daniel Lee"/>
        <s v="William Rodriguez"/>
        <s v="Lisa Moore"/>
        <s v="Kimberly Anderson"/>
        <s v="Anthony Jones"/>
        <s v="Karen Sanchez"/>
        <s v="Jessica Johnson"/>
        <s v="Robert Sanchez"/>
        <s v="Donald Scott"/>
        <s v="Christopher Wilson"/>
        <s v="David Davis"/>
        <s v="Nancy Hill"/>
        <s v="Richard White"/>
        <s v="John Moore"/>
        <s v="Patricia Smith"/>
        <s v="Charles Jackson"/>
        <s v="Karen Hill"/>
        <s v="Andrew Allen"/>
        <s v="Joshua Sanchez"/>
        <s v="James Harris"/>
        <s v="Emily Harris"/>
        <s v="Matthew Martin"/>
        <s v="Lisa Johnson"/>
        <s v="Donna Allen"/>
        <s v="Patricia Harris"/>
        <s v="Donna Scott"/>
        <s v="Patricia Jones"/>
        <s v="William Wright"/>
        <s v="Karen Lopez"/>
        <s v="Robert Young"/>
        <s v="Dorothy Perez"/>
        <s v="Joseph Wright"/>
        <s v="Sandra Anderson"/>
        <s v="Steven Gonzalez"/>
        <s v="James Walker"/>
        <s v="Sandra Martin"/>
        <s v="Donald Garcia"/>
        <s v="Michael Rodriguez"/>
        <s v="John Young"/>
        <s v="Anthony Nguyen"/>
        <s v="Lisa Scott"/>
        <s v="Elizabeth Robinson"/>
        <s v="Paul White"/>
        <s v="Christopher Hernandez"/>
        <s v="Ashley Anderson"/>
        <s v="Margaret Brown"/>
        <s v="Mark Harris"/>
        <s v="Margaret Clark"/>
        <s v="Richard Harris"/>
      </sharedItems>
    </cacheField>
    <cacheField name="Date of Birth" numFmtId="164">
      <sharedItems containsSemiMixedTypes="0" containsNonDate="0" containsDate="1" containsString="0" minDate="1936-10-09T00:00:00" maxDate="2025-05-16T00:00:00"/>
    </cacheField>
    <cacheField name="Gender" numFmtId="0">
      <sharedItems count="3">
        <s v="Female"/>
        <s v="Male"/>
        <s v="Other"/>
      </sharedItems>
    </cacheField>
    <cacheField name="Diagnosis" numFmtId="0">
      <sharedItems count="15">
        <s v="Type 2 Diabetes"/>
        <s v="Back Pain"/>
        <s v="Heart Disease"/>
        <s v="Arthritis"/>
        <s v="Asthma"/>
        <s v="Fracture"/>
        <s v="Bronchitis"/>
        <s v="UTI"/>
        <s v="Migraine"/>
        <s v="Skin Infection"/>
        <s v="Appendicitis"/>
        <s v="Hypertension"/>
        <s v="Allergies"/>
        <s v="Pneumonia"/>
        <s v="Depression"/>
      </sharedItems>
    </cacheField>
    <cacheField name="Procedure" numFmtId="0">
      <sharedItems/>
    </cacheField>
    <cacheField name="Provider" numFmtId="0">
      <sharedItems count="20">
        <s v="Dr. Jackson"/>
        <s v="Dr. Rodriguez"/>
        <s v="Dr. Anderson"/>
        <s v="Dr. Williams"/>
        <s v="Dr. Miller"/>
        <s v="Dr. Jones"/>
        <s v="Dr. Garcia"/>
        <s v="Dr. Thomas"/>
        <s v="Dr. Martin"/>
        <s v="Dr. Kim"/>
        <s v="Dr. Martinez"/>
        <s v="Dr. Taylor"/>
        <s v="Dr. Smith"/>
        <s v="Dr. Wilson"/>
        <s v="Dr. Johnson"/>
        <s v="Dr. Moore"/>
        <s v="Dr. Brown"/>
        <s v="Dr. Chen"/>
        <s v="Dr. Davis"/>
        <s v="Dr. Patel"/>
      </sharedItems>
    </cacheField>
    <cacheField name="Admission Date" numFmtId="164">
      <sharedItems containsSemiMixedTypes="0" containsNonDate="0" containsDate="1" containsString="0" minDate="2024-10-07T00:00:00" maxDate="2026-09-21T00:00:00" count="93">
        <d v="2025-06-09T00:00:00"/>
        <d v="2026-03-25T00:00:00"/>
        <d v="2025-08-28T00:00:00"/>
        <d v="2025-05-31T00:00:00"/>
        <d v="2025-07-07T00:00:00"/>
        <d v="2024-10-07T00:00:00"/>
        <d v="2026-07-08T00:00:00"/>
        <d v="2025-11-01T00:00:00"/>
        <d v="2024-12-15T00:00:00"/>
        <d v="2025-06-10T00:00:00"/>
        <d v="2025-06-14T00:00:00"/>
        <d v="2026-04-26T00:00:00"/>
        <d v="2025-03-02T00:00:00"/>
        <d v="2024-12-11T00:00:00"/>
        <d v="2026-06-11T00:00:00"/>
        <d v="2025-10-03T00:00:00"/>
        <d v="2026-09-05T00:00:00"/>
        <d v="2026-03-17T00:00:00"/>
        <d v="2025-09-19T00:00:00"/>
        <d v="2026-09-20T00:00:00"/>
        <d v="2026-07-14T00:00:00"/>
        <d v="2025-08-17T00:00:00"/>
        <d v="2024-11-22T00:00:00"/>
        <d v="2024-11-08T00:00:00"/>
        <d v="2026-08-21T00:00:00"/>
        <d v="2025-04-11T00:00:00"/>
        <d v="2025-12-19T00:00:00"/>
        <d v="2026-02-27T00:00:00"/>
        <d v="2025-09-29T00:00:00"/>
        <d v="2025-07-28T00:00:00"/>
        <d v="2026-01-13T00:00:00"/>
        <d v="2025-05-11T00:00:00"/>
        <d v="2025-12-25T00:00:00"/>
        <d v="2025-03-08T00:00:00"/>
        <d v="2025-08-02T00:00:00"/>
        <d v="2025-12-08T00:00:00"/>
        <d v="2026-04-15T00:00:00"/>
        <d v="2024-10-24T00:00:00"/>
        <d v="2026-04-04T00:00:00"/>
        <d v="2024-12-17T00:00:00"/>
        <d v="2025-02-25T00:00:00"/>
        <d v="2026-03-14T00:00:00"/>
        <d v="2025-08-14T00:00:00"/>
        <d v="2025-03-11T00:00:00"/>
        <d v="2025-12-04T00:00:00"/>
        <d v="2025-12-12T00:00:00"/>
        <d v="2025-11-10T00:00:00"/>
        <d v="2025-02-12T00:00:00"/>
        <d v="2026-06-24T00:00:00"/>
        <d v="2025-12-26T00:00:00"/>
        <d v="2026-06-06T00:00:00"/>
        <d v="2026-06-03T00:00:00"/>
        <d v="2026-05-29T00:00:00"/>
        <d v="2025-12-21T00:00:00"/>
        <d v="2026-03-13T00:00:00"/>
        <d v="2024-11-14T00:00:00"/>
        <d v="2024-11-25T00:00:00"/>
        <d v="2024-10-21T00:00:00"/>
        <d v="2024-10-18T00:00:00"/>
        <d v="2025-11-26T00:00:00"/>
        <d v="2024-11-29T00:00:00"/>
        <d v="2025-08-24T00:00:00"/>
        <d v="2026-03-20T00:00:00"/>
        <d v="2025-08-09T00:00:00"/>
        <d v="2026-08-09T00:00:00"/>
        <d v="2025-07-01T00:00:00"/>
        <d v="2025-07-21T00:00:00"/>
        <d v="2025-08-26T00:00:00"/>
        <d v="2026-09-16T00:00:00"/>
        <d v="2025-05-04T00:00:00"/>
        <d v="2025-09-24T00:00:00"/>
        <d v="2026-05-09T00:00:00"/>
        <d v="2026-04-21T00:00:00"/>
        <d v="2026-04-25T00:00:00"/>
        <d v="2025-11-12T00:00:00"/>
        <d v="2025-12-17T00:00:00"/>
        <d v="2026-06-18T00:00:00"/>
        <d v="2024-12-30T00:00:00"/>
        <d v="2026-09-04T00:00:00"/>
        <d v="2025-09-25T00:00:00"/>
        <d v="2026-04-30T00:00:00"/>
        <d v="2025-07-17T00:00:00"/>
        <d v="2026-04-22T00:00:00"/>
        <d v="2025-02-18T00:00:00"/>
        <d v="2026-04-14T00:00:00"/>
        <d v="2025-07-22T00:00:00"/>
        <d v="2026-01-26T00:00:00"/>
        <d v="2025-10-23T00:00:00"/>
        <d v="2024-10-23T00:00:00"/>
        <d v="2026-05-25T00:00:00"/>
        <d v="2026-09-18T00:00:00"/>
        <d v="2025-04-24T00:00:00"/>
        <d v="2025-06-02T00:00:00"/>
      </sharedItems>
      <fieldGroup par="19" base="7">
        <rangePr groupBy="months" startDate="2024-10-07T00:00:00" endDate="2026-09-21T00:00:00"/>
        <groupItems count="14">
          <s v="&lt;10/07/2024"/>
          <s v="Jan"/>
          <s v="Feb"/>
          <s v="Mar"/>
          <s v="Apr"/>
          <s v="May"/>
          <s v="Jun"/>
          <s v="Jul"/>
          <s v="Aug"/>
          <s v="Sep"/>
          <s v="Oct"/>
          <s v="Nov"/>
          <s v="Dec"/>
          <s v="&gt;09/21/2026"/>
        </groupItems>
      </fieldGroup>
    </cacheField>
    <cacheField name="Discharge Date" numFmtId="164">
      <sharedItems containsSemiMixedTypes="0" containsNonDate="0" containsDate="1" containsString="0" minDate="2024-10-13T00:00:00" maxDate="2026-09-29T00:00:00"/>
    </cacheField>
    <cacheField name="Total Charges" numFmtId="0">
      <sharedItems containsSemiMixedTypes="0" containsString="0" containsNumber="1" minValue="513.96" maxValue="47633.15"/>
    </cacheField>
    <cacheField name="Insurance" numFmtId="0">
      <sharedItems/>
    </cacheField>
    <cacheField name="Date Check" numFmtId="164">
      <sharedItems count="1">
        <b v="1"/>
      </sharedItems>
    </cacheField>
    <cacheField name="Length of Stay" numFmtId="0">
      <sharedItems containsSemiMixedTypes="0" containsString="0" containsNumber="1" containsInteger="1" minValue="1" maxValue="14"/>
    </cacheField>
    <cacheField name="LoS Check" numFmtId="0">
      <sharedItems/>
    </cacheField>
    <cacheField name="Patient Age" numFmtId="0">
      <sharedItems containsSemiMixedTypes="0" containsString="0" containsNumber="1" containsInteger="1" minValue="0" maxValue="89"/>
    </cacheField>
    <cacheField name="Age Check" numFmtId="0">
      <sharedItems/>
    </cacheField>
    <cacheField name="Age Group" numFmtId="0">
      <sharedItems count="5">
        <s v="Adult"/>
        <s v="Child"/>
        <s v="Senior"/>
        <s v="Adolescent"/>
        <s v="Infant"/>
      </sharedItems>
    </cacheField>
    <cacheField name="LoS Category" numFmtId="0">
      <sharedItems count="3">
        <s v="8+ Days"/>
        <s v="4-7 Days"/>
        <s v="1-3 Days"/>
      </sharedItems>
    </cacheField>
    <cacheField name="Charges Check" numFmtId="0">
      <sharedItems/>
    </cacheField>
    <cacheField name="Years" numFmtId="0" databaseField="0">
      <fieldGroup base="7">
        <rangePr groupBy="years" startDate="2024-10-07T00:00:00" endDate="2026-09-21T00:00:00"/>
        <groupItems count="5">
          <s v="&lt;10/07/2024"/>
          <s v="2024"/>
          <s v="2025"/>
          <s v="2026"/>
          <s v="&gt;09/2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PAT-000001"/>
    <x v="0"/>
    <d v="2006-03-04T00:00:00"/>
    <x v="0"/>
    <x v="0"/>
    <s v="Glucose Monitoring"/>
    <x v="0"/>
    <x v="0"/>
    <d v="2025-06-19T00:00:00"/>
    <n v="1862.52"/>
    <s v="Medicare"/>
    <x v="0"/>
    <n v="10"/>
    <s v="OK"/>
    <n v="19"/>
    <s v="OK"/>
    <x v="0"/>
    <x v="0"/>
    <s v="OK"/>
  </r>
  <r>
    <s v="PAT-000002"/>
    <x v="1"/>
    <d v="2023-02-04T00:00:00"/>
    <x v="0"/>
    <x v="1"/>
    <s v="Physical Therapy"/>
    <x v="1"/>
    <x v="1"/>
    <d v="2026-04-05T00:00:00"/>
    <n v="3230.79"/>
    <s v="Medicaid"/>
    <x v="0"/>
    <n v="11"/>
    <s v="OK"/>
    <n v="3"/>
    <s v="OK"/>
    <x v="1"/>
    <x v="0"/>
    <s v="OK"/>
  </r>
  <r>
    <s v="PAT-000003"/>
    <x v="2"/>
    <d v="1973-08-09T00:00:00"/>
    <x v="1"/>
    <x v="2"/>
    <s v="Cardiac Catheterization"/>
    <x v="2"/>
    <x v="2"/>
    <d v="2025-09-10T00:00:00"/>
    <n v="47523.53"/>
    <s v="Medicaid"/>
    <x v="0"/>
    <n v="13"/>
    <s v="OK"/>
    <n v="52"/>
    <s v="OK"/>
    <x v="0"/>
    <x v="0"/>
    <s v="OK"/>
  </r>
  <r>
    <s v="PAT-000004"/>
    <x v="3"/>
    <d v="1949-09-05T00:00:00"/>
    <x v="1"/>
    <x v="3"/>
    <s v="Joint Assessment"/>
    <x v="3"/>
    <x v="3"/>
    <d v="2025-06-14T00:00:00"/>
    <n v="3835.59"/>
    <s v="Medicare"/>
    <x v="0"/>
    <n v="14"/>
    <s v="OK"/>
    <n v="75"/>
    <s v="OK"/>
    <x v="2"/>
    <x v="0"/>
    <s v="OK"/>
  </r>
  <r>
    <s v="PAT-000005"/>
    <x v="4"/>
    <d v="1949-05-02T00:00:00"/>
    <x v="1"/>
    <x v="4"/>
    <s v="Pulmonary Function Test"/>
    <x v="3"/>
    <x v="4"/>
    <d v="2025-07-17T00:00:00"/>
    <n v="1034.2"/>
    <s v="Blue Cross"/>
    <x v="0"/>
    <n v="10"/>
    <s v="OK"/>
    <n v="76"/>
    <s v="OK"/>
    <x v="2"/>
    <x v="0"/>
    <s v="OK"/>
  </r>
  <r>
    <s v="PAT-000006"/>
    <x v="5"/>
    <d v="1972-02-12T00:00:00"/>
    <x v="1"/>
    <x v="5"/>
    <s v="Casting/Surgery"/>
    <x v="4"/>
    <x v="5"/>
    <d v="2024-10-13T00:00:00"/>
    <n v="5659.24"/>
    <s v="Aetna"/>
    <x v="0"/>
    <n v="6"/>
    <s v="OK"/>
    <n v="52"/>
    <s v="OK"/>
    <x v="0"/>
    <x v="1"/>
    <s v="OK"/>
  </r>
  <r>
    <s v="PAT-000007"/>
    <x v="6"/>
    <d v="1947-01-05T00:00:00"/>
    <x v="0"/>
    <x v="6"/>
    <s v="Respiratory Treatment"/>
    <x v="3"/>
    <x v="6"/>
    <d v="2026-07-21T00:00:00"/>
    <n v="1628.29"/>
    <s v="Medicaid"/>
    <x v="0"/>
    <n v="13"/>
    <s v="OK"/>
    <n v="79"/>
    <s v="OK"/>
    <x v="2"/>
    <x v="0"/>
    <s v="OK"/>
  </r>
  <r>
    <s v="PAT-000008"/>
    <x v="7"/>
    <d v="1980-05-09T00:00:00"/>
    <x v="0"/>
    <x v="5"/>
    <s v="Casting/Surgery"/>
    <x v="5"/>
    <x v="7"/>
    <d v="2025-11-11T00:00:00"/>
    <n v="11969.25"/>
    <s v="Cigna"/>
    <x v="0"/>
    <n v="10"/>
    <s v="OK"/>
    <n v="45"/>
    <s v="OK"/>
    <x v="0"/>
    <x v="0"/>
    <s v="OK"/>
  </r>
  <r>
    <s v="PAT-000009"/>
    <x v="8"/>
    <d v="1951-12-17T00:00:00"/>
    <x v="1"/>
    <x v="4"/>
    <s v="Pulmonary Function Test"/>
    <x v="3"/>
    <x v="8"/>
    <d v="2024-12-28T00:00:00"/>
    <n v="801.06"/>
    <s v="Aetna"/>
    <x v="0"/>
    <n v="13"/>
    <s v="OK"/>
    <n v="72"/>
    <s v="OK"/>
    <x v="2"/>
    <x v="0"/>
    <s v="OK"/>
  </r>
  <r>
    <s v="PAT-000010"/>
    <x v="9"/>
    <d v="2004-05-18T00:00:00"/>
    <x v="0"/>
    <x v="7"/>
    <s v="Urinalysis + Antibiotics"/>
    <x v="6"/>
    <x v="9"/>
    <d v="2025-06-17T00:00:00"/>
    <n v="562.62"/>
    <s v="Blue Cross"/>
    <x v="0"/>
    <n v="7"/>
    <s v="OK"/>
    <n v="21"/>
    <s v="OK"/>
    <x v="0"/>
    <x v="1"/>
    <s v="OK"/>
  </r>
  <r>
    <s v="PAT-000011"/>
    <x v="10"/>
    <d v="1965-05-24T00:00:00"/>
    <x v="0"/>
    <x v="1"/>
    <s v="Physical Therapy"/>
    <x v="6"/>
    <x v="10"/>
    <d v="2025-06-19T00:00:00"/>
    <n v="2922.64"/>
    <s v="Self-Pay"/>
    <x v="0"/>
    <n v="5"/>
    <s v="OK"/>
    <n v="60"/>
    <s v="OK"/>
    <x v="2"/>
    <x v="1"/>
    <s v="OK"/>
  </r>
  <r>
    <s v="PAT-000012"/>
    <x v="11"/>
    <d v="1971-06-16T00:00:00"/>
    <x v="0"/>
    <x v="8"/>
    <s v="Neurological Assessment"/>
    <x v="7"/>
    <x v="11"/>
    <d v="2026-05-03T00:00:00"/>
    <n v="1095.1300000000001"/>
    <s v="UnitedHealth"/>
    <x v="0"/>
    <n v="7"/>
    <s v="OK"/>
    <n v="54"/>
    <s v="OK"/>
    <x v="0"/>
    <x v="1"/>
    <s v="OK"/>
  </r>
  <r>
    <s v="PAT-000013"/>
    <x v="12"/>
    <d v="1985-10-02T00:00:00"/>
    <x v="0"/>
    <x v="9"/>
    <s v="Dermatological Treatment"/>
    <x v="8"/>
    <x v="12"/>
    <d v="2025-03-06T00:00:00"/>
    <n v="522.65"/>
    <s v="Self-Pay"/>
    <x v="0"/>
    <n v="4"/>
    <s v="OK"/>
    <n v="39"/>
    <s v="OK"/>
    <x v="0"/>
    <x v="1"/>
    <s v="OK"/>
  </r>
  <r>
    <s v="PAT-000014"/>
    <x v="13"/>
    <d v="1962-01-15T00:00:00"/>
    <x v="0"/>
    <x v="6"/>
    <s v="Respiratory Treatment"/>
    <x v="9"/>
    <x v="13"/>
    <d v="2024-12-22T00:00:00"/>
    <n v="1118.98"/>
    <s v="Blue Cross"/>
    <x v="0"/>
    <n v="11"/>
    <s v="OK"/>
    <n v="62"/>
    <s v="OK"/>
    <x v="2"/>
    <x v="0"/>
    <s v="OK"/>
  </r>
  <r>
    <s v="PAT-000015"/>
    <x v="14"/>
    <d v="1988-05-26T00:00:00"/>
    <x v="0"/>
    <x v="10"/>
    <s v="Appendectomy"/>
    <x v="0"/>
    <x v="14"/>
    <d v="2026-06-13T00:00:00"/>
    <n v="13984.98"/>
    <s v="Medicare"/>
    <x v="0"/>
    <n v="2"/>
    <s v="OK"/>
    <n v="38"/>
    <s v="OK"/>
    <x v="0"/>
    <x v="2"/>
    <s v="OK"/>
  </r>
  <r>
    <s v="PAT-000016"/>
    <x v="15"/>
    <d v="1942-01-08T00:00:00"/>
    <x v="1"/>
    <x v="11"/>
    <s v="Blood Pressure Management"/>
    <x v="7"/>
    <x v="15"/>
    <d v="2025-10-14T00:00:00"/>
    <n v="513.96"/>
    <s v="UnitedHealth"/>
    <x v="0"/>
    <n v="11"/>
    <s v="OK"/>
    <n v="83"/>
    <s v="OK"/>
    <x v="2"/>
    <x v="0"/>
    <s v="OK"/>
  </r>
  <r>
    <s v="PAT-000017"/>
    <x v="16"/>
    <d v="1965-02-17T00:00:00"/>
    <x v="0"/>
    <x v="10"/>
    <s v="Appendectomy"/>
    <x v="9"/>
    <x v="16"/>
    <d v="2026-09-12T00:00:00"/>
    <n v="18151.57"/>
    <s v="Medicare"/>
    <x v="0"/>
    <n v="7"/>
    <s v="OK"/>
    <n v="61"/>
    <s v="OK"/>
    <x v="2"/>
    <x v="1"/>
    <s v="OK"/>
  </r>
  <r>
    <s v="PAT-000018"/>
    <x v="17"/>
    <d v="2024-10-16T00:00:00"/>
    <x v="0"/>
    <x v="11"/>
    <s v="Blood Pressure Management"/>
    <x v="0"/>
    <x v="17"/>
    <d v="2026-03-29T00:00:00"/>
    <n v="1858.86"/>
    <s v="UnitedHealth"/>
    <x v="0"/>
    <n v="12"/>
    <s v="OK"/>
    <n v="1"/>
    <s v="OK"/>
    <x v="1"/>
    <x v="0"/>
    <s v="OK"/>
  </r>
  <r>
    <s v="PAT-000019"/>
    <x v="18"/>
    <d v="2020-07-17T00:00:00"/>
    <x v="0"/>
    <x v="5"/>
    <s v="Casting/Surgery"/>
    <x v="10"/>
    <x v="18"/>
    <d v="2025-09-30T00:00:00"/>
    <n v="5480.15"/>
    <s v="Aetna"/>
    <x v="0"/>
    <n v="11"/>
    <s v="OK"/>
    <n v="5"/>
    <s v="OK"/>
    <x v="1"/>
    <x v="0"/>
    <s v="OK"/>
  </r>
  <r>
    <s v="PAT-000020"/>
    <x v="19"/>
    <d v="1954-01-16T00:00:00"/>
    <x v="0"/>
    <x v="7"/>
    <s v="Urinalysis + Antibiotics"/>
    <x v="1"/>
    <x v="19"/>
    <d v="2026-09-28T00:00:00"/>
    <n v="1099.75"/>
    <s v="UnitedHealth"/>
    <x v="0"/>
    <n v="8"/>
    <s v="OK"/>
    <n v="72"/>
    <s v="OK"/>
    <x v="2"/>
    <x v="0"/>
    <s v="OK"/>
  </r>
  <r>
    <s v="PAT-000021"/>
    <x v="20"/>
    <d v="1937-12-25T00:00:00"/>
    <x v="0"/>
    <x v="12"/>
    <s v="Allergy Testing"/>
    <x v="10"/>
    <x v="20"/>
    <d v="2026-07-23T00:00:00"/>
    <n v="1044.49"/>
    <s v="Medicare"/>
    <x v="0"/>
    <n v="9"/>
    <s v="OK"/>
    <n v="88"/>
    <s v="OK"/>
    <x v="2"/>
    <x v="0"/>
    <s v="OK"/>
  </r>
  <r>
    <s v="PAT-000022"/>
    <x v="21"/>
    <d v="1983-11-18T00:00:00"/>
    <x v="0"/>
    <x v="13"/>
    <s v="Chest X-Ray + Treatment"/>
    <x v="3"/>
    <x v="21"/>
    <d v="2025-08-27T00:00:00"/>
    <n v="3558.16"/>
    <s v="Aetna"/>
    <x v="0"/>
    <n v="10"/>
    <s v="OK"/>
    <n v="41"/>
    <s v="OK"/>
    <x v="0"/>
    <x v="0"/>
    <s v="OK"/>
  </r>
  <r>
    <s v="PAT-000023"/>
    <x v="22"/>
    <d v="1956-08-28T00:00:00"/>
    <x v="0"/>
    <x v="12"/>
    <s v="Allergy Testing"/>
    <x v="5"/>
    <x v="22"/>
    <d v="2024-11-27T00:00:00"/>
    <n v="1217.18"/>
    <s v="Aetna"/>
    <x v="0"/>
    <n v="5"/>
    <s v="OK"/>
    <n v="68"/>
    <s v="OK"/>
    <x v="2"/>
    <x v="1"/>
    <s v="OK"/>
  </r>
  <r>
    <s v="PAT-000024"/>
    <x v="23"/>
    <d v="1970-10-26T00:00:00"/>
    <x v="1"/>
    <x v="6"/>
    <s v="Respiratory Treatment"/>
    <x v="11"/>
    <x v="23"/>
    <d v="2024-11-19T00:00:00"/>
    <n v="1728.42"/>
    <s v="Medicare"/>
    <x v="0"/>
    <n v="11"/>
    <s v="OK"/>
    <n v="54"/>
    <s v="OK"/>
    <x v="0"/>
    <x v="0"/>
    <s v="OK"/>
  </r>
  <r>
    <s v="PAT-000025"/>
    <x v="24"/>
    <d v="1972-09-06T00:00:00"/>
    <x v="0"/>
    <x v="14"/>
    <s v="Psychiatric Evaluation"/>
    <x v="2"/>
    <x v="24"/>
    <d v="2026-08-26T00:00:00"/>
    <n v="1814.99"/>
    <s v="Self-Pay"/>
    <x v="0"/>
    <n v="5"/>
    <s v="OK"/>
    <n v="53"/>
    <s v="OK"/>
    <x v="0"/>
    <x v="1"/>
    <s v="OK"/>
  </r>
  <r>
    <s v="PAT-000026"/>
    <x v="25"/>
    <d v="1998-03-10T00:00:00"/>
    <x v="2"/>
    <x v="13"/>
    <s v="Chest X-Ray + Treatment"/>
    <x v="12"/>
    <x v="25"/>
    <d v="2025-04-23T00:00:00"/>
    <n v="6245.57"/>
    <s v="Cigna"/>
    <x v="0"/>
    <n v="12"/>
    <s v="OK"/>
    <n v="27"/>
    <s v="OK"/>
    <x v="0"/>
    <x v="0"/>
    <s v="OK"/>
  </r>
  <r>
    <s v="PAT-000027"/>
    <x v="26"/>
    <d v="2012-11-09T00:00:00"/>
    <x v="1"/>
    <x v="3"/>
    <s v="Joint Assessment"/>
    <x v="11"/>
    <x v="26"/>
    <d v="2025-12-22T00:00:00"/>
    <n v="1594.39"/>
    <s v="Self-Pay"/>
    <x v="0"/>
    <n v="3"/>
    <s v="OK"/>
    <n v="13"/>
    <s v="OK"/>
    <x v="3"/>
    <x v="2"/>
    <s v="OK"/>
  </r>
  <r>
    <s v="PAT-000028"/>
    <x v="27"/>
    <d v="2012-12-01T00:00:00"/>
    <x v="0"/>
    <x v="14"/>
    <s v="Psychiatric Evaluation"/>
    <x v="13"/>
    <x v="27"/>
    <d v="2026-03-12T00:00:00"/>
    <n v="2657.06"/>
    <s v="Medicare"/>
    <x v="0"/>
    <n v="13"/>
    <s v="OK"/>
    <n v="13"/>
    <s v="OK"/>
    <x v="3"/>
    <x v="0"/>
    <s v="OK"/>
  </r>
  <r>
    <s v="PAT-000029"/>
    <x v="28"/>
    <d v="2008-02-23T00:00:00"/>
    <x v="1"/>
    <x v="1"/>
    <s v="Physical Therapy"/>
    <x v="7"/>
    <x v="28"/>
    <d v="2025-10-02T00:00:00"/>
    <n v="1797.48"/>
    <s v="Self-Pay"/>
    <x v="0"/>
    <n v="3"/>
    <s v="OK"/>
    <n v="17"/>
    <s v="OK"/>
    <x v="3"/>
    <x v="2"/>
    <s v="OK"/>
  </r>
  <r>
    <s v="PAT-000030"/>
    <x v="29"/>
    <d v="1974-07-24T00:00:00"/>
    <x v="1"/>
    <x v="9"/>
    <s v="Dermatological Treatment"/>
    <x v="12"/>
    <x v="29"/>
    <d v="2025-08-07T00:00:00"/>
    <n v="734.26"/>
    <s v="Self-Pay"/>
    <x v="0"/>
    <n v="10"/>
    <s v="OK"/>
    <n v="51"/>
    <s v="OK"/>
    <x v="0"/>
    <x v="0"/>
    <s v="OK"/>
  </r>
  <r>
    <s v="PAT-000031"/>
    <x v="30"/>
    <d v="2017-02-21T00:00:00"/>
    <x v="0"/>
    <x v="5"/>
    <s v="Casting/Surgery"/>
    <x v="2"/>
    <x v="30"/>
    <d v="2026-01-26T00:00:00"/>
    <n v="7326.3"/>
    <s v="Aetna"/>
    <x v="0"/>
    <n v="13"/>
    <s v="OK"/>
    <n v="8"/>
    <s v="OK"/>
    <x v="1"/>
    <x v="0"/>
    <s v="OK"/>
  </r>
  <r>
    <s v="PAT-000032"/>
    <x v="31"/>
    <d v="1974-11-23T00:00:00"/>
    <x v="0"/>
    <x v="0"/>
    <s v="Glucose Monitoring"/>
    <x v="14"/>
    <x v="31"/>
    <d v="2025-05-17T00:00:00"/>
    <n v="1248.49"/>
    <s v="Medicare"/>
    <x v="0"/>
    <n v="6"/>
    <s v="OK"/>
    <n v="50"/>
    <s v="OK"/>
    <x v="0"/>
    <x v="1"/>
    <s v="OK"/>
  </r>
  <r>
    <s v="PAT-000033"/>
    <x v="32"/>
    <d v="1957-10-14T00:00:00"/>
    <x v="1"/>
    <x v="13"/>
    <s v="Chest X-Ray + Treatment"/>
    <x v="11"/>
    <x v="32"/>
    <d v="2026-01-02T00:00:00"/>
    <n v="6730.84"/>
    <s v="Medicaid"/>
    <x v="0"/>
    <n v="8"/>
    <s v="OK"/>
    <n v="68"/>
    <s v="OK"/>
    <x v="2"/>
    <x v="0"/>
    <s v="OK"/>
  </r>
  <r>
    <s v="PAT-000034"/>
    <x v="33"/>
    <d v="1952-11-13T00:00:00"/>
    <x v="0"/>
    <x v="13"/>
    <s v="Chest X-Ray + Treatment"/>
    <x v="11"/>
    <x v="33"/>
    <d v="2025-03-11T00:00:00"/>
    <n v="4008.4"/>
    <s v="Blue Cross"/>
    <x v="0"/>
    <n v="3"/>
    <s v="OK"/>
    <n v="72"/>
    <s v="OK"/>
    <x v="2"/>
    <x v="2"/>
    <s v="OK"/>
  </r>
  <r>
    <s v="PAT-000035"/>
    <x v="34"/>
    <d v="1950-04-13T00:00:00"/>
    <x v="1"/>
    <x v="0"/>
    <s v="Glucose Monitoring"/>
    <x v="12"/>
    <x v="34"/>
    <d v="2025-08-10T00:00:00"/>
    <n v="1556.15"/>
    <s v="Medicaid"/>
    <x v="0"/>
    <n v="8"/>
    <s v="OK"/>
    <n v="75"/>
    <s v="OK"/>
    <x v="2"/>
    <x v="0"/>
    <s v="OK"/>
  </r>
  <r>
    <s v="PAT-000036"/>
    <x v="35"/>
    <d v="1975-09-23T00:00:00"/>
    <x v="1"/>
    <x v="9"/>
    <s v="Dermatological Treatment"/>
    <x v="13"/>
    <x v="35"/>
    <d v="2025-12-09T00:00:00"/>
    <n v="996.61"/>
    <s v="Aetna"/>
    <x v="0"/>
    <n v="1"/>
    <s v="OK"/>
    <n v="50"/>
    <s v="OK"/>
    <x v="0"/>
    <x v="2"/>
    <s v="OK"/>
  </r>
  <r>
    <s v="PAT-000037"/>
    <x v="36"/>
    <d v="1991-10-12T00:00:00"/>
    <x v="0"/>
    <x v="14"/>
    <s v="Psychiatric Evaluation"/>
    <x v="15"/>
    <x v="36"/>
    <d v="2026-04-23T00:00:00"/>
    <n v="2808.97"/>
    <s v="Self-Pay"/>
    <x v="0"/>
    <n v="8"/>
    <s v="OK"/>
    <n v="34"/>
    <s v="OK"/>
    <x v="0"/>
    <x v="0"/>
    <s v="OK"/>
  </r>
  <r>
    <s v="PAT-000038"/>
    <x v="37"/>
    <d v="2003-03-16T00:00:00"/>
    <x v="1"/>
    <x v="3"/>
    <s v="Joint Assessment"/>
    <x v="15"/>
    <x v="37"/>
    <d v="2024-10-28T00:00:00"/>
    <n v="2098.69"/>
    <s v="Medicaid"/>
    <x v="0"/>
    <n v="4"/>
    <s v="OK"/>
    <n v="21"/>
    <s v="OK"/>
    <x v="0"/>
    <x v="1"/>
    <s v="OK"/>
  </r>
  <r>
    <s v="PAT-000039"/>
    <x v="38"/>
    <d v="1956-06-19T00:00:00"/>
    <x v="1"/>
    <x v="2"/>
    <s v="Cardiac Catheterization"/>
    <x v="16"/>
    <x v="38"/>
    <d v="2026-04-06T00:00:00"/>
    <n v="43538.34"/>
    <s v="UnitedHealth"/>
    <x v="0"/>
    <n v="2"/>
    <s v="OK"/>
    <n v="69"/>
    <s v="OK"/>
    <x v="2"/>
    <x v="2"/>
    <s v="OK"/>
  </r>
  <r>
    <s v="PAT-000040"/>
    <x v="12"/>
    <d v="1942-02-19T00:00:00"/>
    <x v="1"/>
    <x v="0"/>
    <s v="Glucose Monitoring"/>
    <x v="9"/>
    <x v="39"/>
    <d v="2024-12-23T00:00:00"/>
    <n v="2364.71"/>
    <s v="UnitedHealth"/>
    <x v="0"/>
    <n v="6"/>
    <s v="OK"/>
    <n v="82"/>
    <s v="OK"/>
    <x v="2"/>
    <x v="1"/>
    <s v="OK"/>
  </r>
  <r>
    <s v="PAT-000041"/>
    <x v="39"/>
    <d v="1970-01-11T00:00:00"/>
    <x v="1"/>
    <x v="3"/>
    <s v="Joint Assessment"/>
    <x v="16"/>
    <x v="40"/>
    <d v="2025-03-02T00:00:00"/>
    <n v="1126.33"/>
    <s v="Medicare"/>
    <x v="0"/>
    <n v="5"/>
    <s v="OK"/>
    <n v="55"/>
    <s v="OK"/>
    <x v="0"/>
    <x v="1"/>
    <s v="OK"/>
  </r>
  <r>
    <s v="PAT-000042"/>
    <x v="40"/>
    <d v="1972-09-22T00:00:00"/>
    <x v="2"/>
    <x v="4"/>
    <s v="Pulmonary Function Test"/>
    <x v="7"/>
    <x v="36"/>
    <d v="2026-04-24T00:00:00"/>
    <n v="1099.96"/>
    <s v="Cigna"/>
    <x v="0"/>
    <n v="9"/>
    <s v="OK"/>
    <n v="53"/>
    <s v="OK"/>
    <x v="0"/>
    <x v="0"/>
    <s v="OK"/>
  </r>
  <r>
    <s v="PAT-000043"/>
    <x v="41"/>
    <d v="1965-05-08T00:00:00"/>
    <x v="0"/>
    <x v="11"/>
    <s v="Blood Pressure Management"/>
    <x v="10"/>
    <x v="41"/>
    <d v="2026-03-15T00:00:00"/>
    <n v="897.25"/>
    <s v="UnitedHealth"/>
    <x v="0"/>
    <n v="1"/>
    <s v="OK"/>
    <n v="60"/>
    <s v="OK"/>
    <x v="2"/>
    <x v="2"/>
    <s v="OK"/>
  </r>
  <r>
    <s v="PAT-000044"/>
    <x v="42"/>
    <d v="2024-12-11T00:00:00"/>
    <x v="0"/>
    <x v="12"/>
    <s v="Allergy Testing"/>
    <x v="2"/>
    <x v="42"/>
    <d v="2025-08-26T00:00:00"/>
    <n v="1018.83"/>
    <s v="Aetna"/>
    <x v="0"/>
    <n v="12"/>
    <s v="OK"/>
    <n v="0"/>
    <s v="OK"/>
    <x v="4"/>
    <x v="0"/>
    <s v="OK"/>
  </r>
  <r>
    <s v="PAT-000045"/>
    <x v="43"/>
    <d v="1971-04-21T00:00:00"/>
    <x v="0"/>
    <x v="3"/>
    <s v="Joint Assessment"/>
    <x v="6"/>
    <x v="43"/>
    <d v="2025-03-25T00:00:00"/>
    <n v="1181.1099999999999"/>
    <s v="Self-Pay"/>
    <x v="0"/>
    <n v="14"/>
    <s v="OK"/>
    <n v="53"/>
    <s v="OK"/>
    <x v="0"/>
    <x v="0"/>
    <s v="OK"/>
  </r>
  <r>
    <s v="PAT-000046"/>
    <x v="44"/>
    <d v="2001-06-13T00:00:00"/>
    <x v="1"/>
    <x v="9"/>
    <s v="Dermatological Treatment"/>
    <x v="17"/>
    <x v="44"/>
    <d v="2025-12-10T00:00:00"/>
    <n v="705.88"/>
    <s v="Medicaid"/>
    <x v="0"/>
    <n v="6"/>
    <s v="OK"/>
    <n v="24"/>
    <s v="OK"/>
    <x v="0"/>
    <x v="1"/>
    <s v="OK"/>
  </r>
  <r>
    <s v="PAT-000047"/>
    <x v="45"/>
    <d v="2002-04-27T00:00:00"/>
    <x v="0"/>
    <x v="5"/>
    <s v="Casting/Surgery"/>
    <x v="6"/>
    <x v="45"/>
    <d v="2025-12-18T00:00:00"/>
    <n v="14699.25"/>
    <s v="Aetna"/>
    <x v="0"/>
    <n v="6"/>
    <s v="OK"/>
    <n v="23"/>
    <s v="OK"/>
    <x v="0"/>
    <x v="1"/>
    <s v="OK"/>
  </r>
  <r>
    <s v="PAT-000048"/>
    <x v="46"/>
    <d v="2015-06-15T00:00:00"/>
    <x v="0"/>
    <x v="7"/>
    <s v="Urinalysis + Antibiotics"/>
    <x v="18"/>
    <x v="46"/>
    <d v="2025-11-21T00:00:00"/>
    <n v="732.44"/>
    <s v="UnitedHealth"/>
    <x v="0"/>
    <n v="11"/>
    <s v="OK"/>
    <n v="10"/>
    <s v="OK"/>
    <x v="1"/>
    <x v="0"/>
    <s v="OK"/>
  </r>
  <r>
    <s v="PAT-000049"/>
    <x v="47"/>
    <d v="2014-08-20T00:00:00"/>
    <x v="0"/>
    <x v="8"/>
    <s v="Neurological Assessment"/>
    <x v="18"/>
    <x v="47"/>
    <d v="2025-02-22T00:00:00"/>
    <n v="1044.33"/>
    <s v="Aetna"/>
    <x v="0"/>
    <n v="10"/>
    <s v="OK"/>
    <n v="10"/>
    <s v="OK"/>
    <x v="1"/>
    <x v="0"/>
    <s v="OK"/>
  </r>
  <r>
    <s v="PAT-000050"/>
    <x v="48"/>
    <d v="2003-11-11T00:00:00"/>
    <x v="0"/>
    <x v="9"/>
    <s v="Dermatological Treatment"/>
    <x v="2"/>
    <x v="48"/>
    <d v="2026-06-27T00:00:00"/>
    <n v="1372.75"/>
    <s v="UnitedHealth"/>
    <x v="0"/>
    <n v="3"/>
    <s v="OK"/>
    <n v="22"/>
    <s v="OK"/>
    <x v="0"/>
    <x v="2"/>
    <s v="OK"/>
  </r>
  <r>
    <s v="PAT-000051"/>
    <x v="49"/>
    <d v="1938-08-20T00:00:00"/>
    <x v="1"/>
    <x v="1"/>
    <s v="Physical Therapy"/>
    <x v="6"/>
    <x v="49"/>
    <d v="2026-01-09T00:00:00"/>
    <n v="4912.25"/>
    <s v="Self-Pay"/>
    <x v="0"/>
    <n v="14"/>
    <s v="OK"/>
    <n v="87"/>
    <s v="OK"/>
    <x v="2"/>
    <x v="0"/>
    <s v="OK"/>
  </r>
  <r>
    <s v="PAT-000052"/>
    <x v="50"/>
    <d v="2019-02-12T00:00:00"/>
    <x v="1"/>
    <x v="10"/>
    <s v="Appendectomy"/>
    <x v="7"/>
    <x v="50"/>
    <d v="2026-06-19T00:00:00"/>
    <n v="19797.21"/>
    <s v="Self-Pay"/>
    <x v="0"/>
    <n v="13"/>
    <s v="OK"/>
    <n v="7"/>
    <s v="OK"/>
    <x v="1"/>
    <x v="0"/>
    <s v="OK"/>
  </r>
  <r>
    <s v="PAT-000053"/>
    <x v="51"/>
    <d v="1952-03-24T00:00:00"/>
    <x v="1"/>
    <x v="6"/>
    <s v="Respiratory Treatment"/>
    <x v="12"/>
    <x v="51"/>
    <d v="2026-06-06T00:00:00"/>
    <n v="1803.53"/>
    <s v="Medicare"/>
    <x v="0"/>
    <n v="3"/>
    <s v="OK"/>
    <n v="74"/>
    <s v="OK"/>
    <x v="2"/>
    <x v="2"/>
    <s v="OK"/>
  </r>
  <r>
    <s v="PAT-000054"/>
    <x v="52"/>
    <d v="1969-12-26T00:00:00"/>
    <x v="1"/>
    <x v="0"/>
    <s v="Glucose Monitoring"/>
    <x v="5"/>
    <x v="52"/>
    <d v="2026-06-06T00:00:00"/>
    <n v="2692.42"/>
    <s v="Medicaid"/>
    <x v="0"/>
    <n v="8"/>
    <s v="OK"/>
    <n v="56"/>
    <s v="OK"/>
    <x v="0"/>
    <x v="0"/>
    <s v="OK"/>
  </r>
  <r>
    <s v="PAT-000055"/>
    <x v="53"/>
    <d v="1952-08-23T00:00:00"/>
    <x v="1"/>
    <x v="14"/>
    <s v="Psychiatric Evaluation"/>
    <x v="16"/>
    <x v="53"/>
    <d v="2025-12-22T00:00:00"/>
    <n v="934.59"/>
    <s v="Self-Pay"/>
    <x v="0"/>
    <n v="1"/>
    <s v="OK"/>
    <n v="73"/>
    <s v="OK"/>
    <x v="2"/>
    <x v="2"/>
    <s v="OK"/>
  </r>
  <r>
    <s v="PAT-000056"/>
    <x v="54"/>
    <d v="1944-12-18T00:00:00"/>
    <x v="1"/>
    <x v="0"/>
    <s v="Glucose Monitoring"/>
    <x v="4"/>
    <x v="54"/>
    <d v="2026-03-19T00:00:00"/>
    <n v="1273.5899999999999"/>
    <s v="Blue Cross"/>
    <x v="0"/>
    <n v="6"/>
    <s v="OK"/>
    <n v="81"/>
    <s v="OK"/>
    <x v="2"/>
    <x v="1"/>
    <s v="OK"/>
  </r>
  <r>
    <s v="PAT-000057"/>
    <x v="55"/>
    <d v="1980-07-04T00:00:00"/>
    <x v="0"/>
    <x v="3"/>
    <s v="Joint Assessment"/>
    <x v="15"/>
    <x v="55"/>
    <d v="2024-11-24T00:00:00"/>
    <n v="1378.6"/>
    <s v="Cigna"/>
    <x v="0"/>
    <n v="10"/>
    <s v="OK"/>
    <n v="44"/>
    <s v="OK"/>
    <x v="0"/>
    <x v="0"/>
    <s v="OK"/>
  </r>
  <r>
    <s v="PAT-000058"/>
    <x v="56"/>
    <d v="2011-05-11T00:00:00"/>
    <x v="0"/>
    <x v="2"/>
    <s v="Cardiac Catheterization"/>
    <x v="13"/>
    <x v="56"/>
    <d v="2024-12-01T00:00:00"/>
    <n v="47633.15"/>
    <s v="Cigna"/>
    <x v="0"/>
    <n v="6"/>
    <s v="OK"/>
    <n v="13"/>
    <s v="OK"/>
    <x v="3"/>
    <x v="1"/>
    <s v="OK"/>
  </r>
  <r>
    <s v="PAT-000059"/>
    <x v="57"/>
    <d v="2008-05-14T00:00:00"/>
    <x v="2"/>
    <x v="10"/>
    <s v="Appendectomy"/>
    <x v="7"/>
    <x v="57"/>
    <d v="2024-10-25T00:00:00"/>
    <n v="9796.2999999999993"/>
    <s v="UnitedHealth"/>
    <x v="0"/>
    <n v="4"/>
    <s v="OK"/>
    <n v="16"/>
    <s v="OK"/>
    <x v="3"/>
    <x v="1"/>
    <s v="OK"/>
  </r>
  <r>
    <s v="PAT-000060"/>
    <x v="58"/>
    <d v="1999-08-12T00:00:00"/>
    <x v="1"/>
    <x v="10"/>
    <s v="Appendectomy"/>
    <x v="10"/>
    <x v="58"/>
    <d v="2024-10-26T00:00:00"/>
    <n v="19112.2"/>
    <s v="Cigna"/>
    <x v="0"/>
    <n v="8"/>
    <s v="OK"/>
    <n v="25"/>
    <s v="OK"/>
    <x v="0"/>
    <x v="0"/>
    <s v="OK"/>
  </r>
  <r>
    <s v="PAT-000061"/>
    <x v="59"/>
    <d v="2002-10-07T00:00:00"/>
    <x v="0"/>
    <x v="10"/>
    <s v="Appendectomy"/>
    <x v="2"/>
    <x v="59"/>
    <d v="2025-12-08T00:00:00"/>
    <n v="20134.54"/>
    <s v="Medicaid"/>
    <x v="0"/>
    <n v="12"/>
    <s v="OK"/>
    <n v="23"/>
    <s v="OK"/>
    <x v="0"/>
    <x v="0"/>
    <s v="OK"/>
  </r>
  <r>
    <s v="PAT-000062"/>
    <x v="60"/>
    <d v="2012-07-16T00:00:00"/>
    <x v="1"/>
    <x v="14"/>
    <s v="Psychiatric Evaluation"/>
    <x v="17"/>
    <x v="60"/>
    <d v="2024-12-02T00:00:00"/>
    <n v="2487.2199999999998"/>
    <s v="Medicaid"/>
    <x v="0"/>
    <n v="3"/>
    <s v="OK"/>
    <n v="12"/>
    <s v="OK"/>
    <x v="1"/>
    <x v="2"/>
    <s v="OK"/>
  </r>
  <r>
    <s v="PAT-000063"/>
    <x v="61"/>
    <d v="2002-02-19T00:00:00"/>
    <x v="1"/>
    <x v="14"/>
    <s v="Psychiatric Evaluation"/>
    <x v="2"/>
    <x v="61"/>
    <d v="2025-09-03T00:00:00"/>
    <n v="947.6"/>
    <s v="UnitedHealth"/>
    <x v="0"/>
    <n v="10"/>
    <s v="OK"/>
    <n v="23"/>
    <s v="OK"/>
    <x v="0"/>
    <x v="0"/>
    <s v="OK"/>
  </r>
  <r>
    <s v="PAT-000064"/>
    <x v="62"/>
    <d v="1998-10-22T00:00:00"/>
    <x v="0"/>
    <x v="7"/>
    <s v="Urinalysis + Antibiotics"/>
    <x v="1"/>
    <x v="62"/>
    <d v="2026-03-28T00:00:00"/>
    <n v="907.44"/>
    <s v="Aetna"/>
    <x v="0"/>
    <n v="8"/>
    <s v="OK"/>
    <n v="27"/>
    <s v="OK"/>
    <x v="0"/>
    <x v="0"/>
    <s v="OK"/>
  </r>
  <r>
    <s v="PAT-000065"/>
    <x v="63"/>
    <d v="1958-02-23T00:00:00"/>
    <x v="1"/>
    <x v="2"/>
    <s v="Cardiac Catheterization"/>
    <x v="12"/>
    <x v="63"/>
    <d v="2025-08-19T00:00:00"/>
    <n v="30608.400000000001"/>
    <s v="Medicare"/>
    <x v="0"/>
    <n v="10"/>
    <s v="OK"/>
    <n v="67"/>
    <s v="OK"/>
    <x v="2"/>
    <x v="0"/>
    <s v="OK"/>
  </r>
  <r>
    <s v="PAT-000066"/>
    <x v="64"/>
    <d v="2011-02-19T00:00:00"/>
    <x v="0"/>
    <x v="10"/>
    <s v="Appendectomy"/>
    <x v="14"/>
    <x v="64"/>
    <d v="2026-08-16T00:00:00"/>
    <n v="11956.12"/>
    <s v="Aetna"/>
    <x v="0"/>
    <n v="7"/>
    <s v="OK"/>
    <n v="15"/>
    <s v="OK"/>
    <x v="3"/>
    <x v="1"/>
    <s v="OK"/>
  </r>
  <r>
    <s v="PAT-000067"/>
    <x v="65"/>
    <d v="2004-05-24T00:00:00"/>
    <x v="0"/>
    <x v="8"/>
    <s v="Neurological Assessment"/>
    <x v="4"/>
    <x v="65"/>
    <d v="2025-07-12T00:00:00"/>
    <n v="1163.3800000000001"/>
    <s v="Medicaid"/>
    <x v="0"/>
    <n v="11"/>
    <s v="OK"/>
    <n v="21"/>
    <s v="OK"/>
    <x v="0"/>
    <x v="0"/>
    <s v="OK"/>
  </r>
  <r>
    <s v="PAT-000068"/>
    <x v="66"/>
    <d v="2003-07-14T00:00:00"/>
    <x v="0"/>
    <x v="2"/>
    <s v="Cardiac Catheterization"/>
    <x v="2"/>
    <x v="66"/>
    <d v="2025-07-25T00:00:00"/>
    <n v="39680.959999999999"/>
    <s v="Cigna"/>
    <x v="0"/>
    <n v="4"/>
    <s v="OK"/>
    <n v="22"/>
    <s v="OK"/>
    <x v="0"/>
    <x v="1"/>
    <s v="OK"/>
  </r>
  <r>
    <s v="PAT-000069"/>
    <x v="67"/>
    <d v="2013-09-11T00:00:00"/>
    <x v="0"/>
    <x v="5"/>
    <s v="Casting/Surgery"/>
    <x v="5"/>
    <x v="67"/>
    <d v="2025-08-30T00:00:00"/>
    <n v="10668.76"/>
    <s v="UnitedHealth"/>
    <x v="0"/>
    <n v="4"/>
    <s v="OK"/>
    <n v="11"/>
    <s v="OK"/>
    <x v="1"/>
    <x v="1"/>
    <s v="OK"/>
  </r>
  <r>
    <s v="PAT-000070"/>
    <x v="68"/>
    <d v="1962-01-03T00:00:00"/>
    <x v="0"/>
    <x v="14"/>
    <s v="Psychiatric Evaluation"/>
    <x v="11"/>
    <x v="68"/>
    <d v="2026-09-19T00:00:00"/>
    <n v="2398.75"/>
    <s v="UnitedHealth"/>
    <x v="0"/>
    <n v="3"/>
    <s v="OK"/>
    <n v="64"/>
    <s v="OK"/>
    <x v="2"/>
    <x v="2"/>
    <s v="OK"/>
  </r>
  <r>
    <s v="PAT-000071"/>
    <x v="69"/>
    <d v="1937-01-16T00:00:00"/>
    <x v="0"/>
    <x v="3"/>
    <s v="Joint Assessment"/>
    <x v="4"/>
    <x v="69"/>
    <d v="2025-05-08T00:00:00"/>
    <n v="2332.8200000000002"/>
    <s v="Self-Pay"/>
    <x v="0"/>
    <n v="4"/>
    <s v="OK"/>
    <n v="88"/>
    <s v="OK"/>
    <x v="2"/>
    <x v="1"/>
    <s v="OK"/>
  </r>
  <r>
    <s v="PAT-000072"/>
    <x v="5"/>
    <d v="2025-05-15T00:00:00"/>
    <x v="0"/>
    <x v="12"/>
    <s v="Allergy Testing"/>
    <x v="7"/>
    <x v="70"/>
    <d v="2025-10-04T00:00:00"/>
    <n v="1493.51"/>
    <s v="Blue Cross"/>
    <x v="0"/>
    <n v="10"/>
    <s v="OK"/>
    <n v="0"/>
    <s v="OK"/>
    <x v="4"/>
    <x v="0"/>
    <s v="OK"/>
  </r>
  <r>
    <s v="PAT-000073"/>
    <x v="70"/>
    <d v="1940-01-26T00:00:00"/>
    <x v="1"/>
    <x v="8"/>
    <s v="Neurological Assessment"/>
    <x v="15"/>
    <x v="71"/>
    <d v="2026-05-20T00:00:00"/>
    <n v="745.67"/>
    <s v="Cigna"/>
    <x v="0"/>
    <n v="11"/>
    <s v="OK"/>
    <n v="86"/>
    <s v="OK"/>
    <x v="2"/>
    <x v="0"/>
    <s v="OK"/>
  </r>
  <r>
    <s v="PAT-000074"/>
    <x v="71"/>
    <d v="2021-12-26T00:00:00"/>
    <x v="1"/>
    <x v="5"/>
    <s v="Casting/Surgery"/>
    <x v="1"/>
    <x v="72"/>
    <d v="2026-05-05T00:00:00"/>
    <n v="11606.62"/>
    <s v="Medicaid"/>
    <x v="0"/>
    <n v="14"/>
    <s v="OK"/>
    <n v="4"/>
    <s v="OK"/>
    <x v="1"/>
    <x v="0"/>
    <s v="OK"/>
  </r>
  <r>
    <s v="PAT-000075"/>
    <x v="67"/>
    <d v="2008-01-07T00:00:00"/>
    <x v="1"/>
    <x v="0"/>
    <s v="Glucose Monitoring"/>
    <x v="9"/>
    <x v="6"/>
    <d v="2026-07-19T00:00:00"/>
    <n v="2479.5"/>
    <s v="Medicaid"/>
    <x v="0"/>
    <n v="11"/>
    <s v="OK"/>
    <n v="18"/>
    <s v="OK"/>
    <x v="0"/>
    <x v="0"/>
    <s v="OK"/>
  </r>
  <r>
    <s v="PAT-000076"/>
    <x v="72"/>
    <d v="1940-05-19T00:00:00"/>
    <x v="1"/>
    <x v="14"/>
    <s v="Psychiatric Evaluation"/>
    <x v="9"/>
    <x v="73"/>
    <d v="2026-04-27T00:00:00"/>
    <n v="2193.61"/>
    <s v="Cigna"/>
    <x v="0"/>
    <n v="2"/>
    <s v="OK"/>
    <n v="85"/>
    <s v="OK"/>
    <x v="2"/>
    <x v="2"/>
    <s v="OK"/>
  </r>
  <r>
    <s v="PAT-000077"/>
    <x v="73"/>
    <d v="2002-10-22T00:00:00"/>
    <x v="1"/>
    <x v="12"/>
    <s v="Allergy Testing"/>
    <x v="7"/>
    <x v="74"/>
    <d v="2025-11-17T00:00:00"/>
    <n v="701.86"/>
    <s v="Self-Pay"/>
    <x v="0"/>
    <n v="5"/>
    <s v="OK"/>
    <n v="23"/>
    <s v="OK"/>
    <x v="0"/>
    <x v="1"/>
    <s v="OK"/>
  </r>
  <r>
    <s v="PAT-000078"/>
    <x v="74"/>
    <d v="1955-06-12T00:00:00"/>
    <x v="0"/>
    <x v="3"/>
    <s v="Joint Assessment"/>
    <x v="8"/>
    <x v="51"/>
    <d v="2026-06-11T00:00:00"/>
    <n v="3035.14"/>
    <s v="Blue Cross"/>
    <x v="0"/>
    <n v="8"/>
    <s v="OK"/>
    <n v="70"/>
    <s v="OK"/>
    <x v="2"/>
    <x v="0"/>
    <s v="OK"/>
  </r>
  <r>
    <s v="PAT-000079"/>
    <x v="75"/>
    <d v="2024-01-20T00:00:00"/>
    <x v="1"/>
    <x v="13"/>
    <s v="Chest X-Ray + Treatment"/>
    <x v="14"/>
    <x v="75"/>
    <d v="2025-12-20T00:00:00"/>
    <n v="5218.84"/>
    <s v="Self-Pay"/>
    <x v="0"/>
    <n v="3"/>
    <s v="OK"/>
    <n v="1"/>
    <s v="OK"/>
    <x v="1"/>
    <x v="2"/>
    <s v="OK"/>
  </r>
  <r>
    <s v="PAT-000080"/>
    <x v="76"/>
    <d v="2014-09-18T00:00:00"/>
    <x v="1"/>
    <x v="14"/>
    <s v="Psychiatric Evaluation"/>
    <x v="2"/>
    <x v="76"/>
    <d v="2026-07-01T00:00:00"/>
    <n v="2019.38"/>
    <s v="Medicaid"/>
    <x v="0"/>
    <n v="13"/>
    <s v="OK"/>
    <n v="11"/>
    <s v="OK"/>
    <x v="1"/>
    <x v="0"/>
    <s v="OK"/>
  </r>
  <r>
    <s v="PAT-000081"/>
    <x v="77"/>
    <d v="1977-05-06T00:00:00"/>
    <x v="1"/>
    <x v="6"/>
    <s v="Respiratory Treatment"/>
    <x v="12"/>
    <x v="77"/>
    <d v="2025-01-11T00:00:00"/>
    <n v="1687.11"/>
    <s v="Aetna"/>
    <x v="0"/>
    <n v="12"/>
    <s v="OK"/>
    <n v="47"/>
    <s v="OK"/>
    <x v="0"/>
    <x v="0"/>
    <s v="OK"/>
  </r>
  <r>
    <s v="PAT-000082"/>
    <x v="78"/>
    <d v="1953-03-01T00:00:00"/>
    <x v="0"/>
    <x v="5"/>
    <s v="Casting/Surgery"/>
    <x v="15"/>
    <x v="10"/>
    <d v="2025-06-23T00:00:00"/>
    <n v="14071.73"/>
    <s v="Aetna"/>
    <x v="0"/>
    <n v="9"/>
    <s v="OK"/>
    <n v="72"/>
    <s v="OK"/>
    <x v="2"/>
    <x v="0"/>
    <s v="OK"/>
  </r>
  <r>
    <s v="PAT-000083"/>
    <x v="79"/>
    <d v="1964-09-01T00:00:00"/>
    <x v="0"/>
    <x v="13"/>
    <s v="Chest X-Ray + Treatment"/>
    <x v="9"/>
    <x v="78"/>
    <d v="2026-09-18T00:00:00"/>
    <n v="5141.75"/>
    <s v="Medicaid"/>
    <x v="0"/>
    <n v="14"/>
    <s v="OK"/>
    <n v="62"/>
    <s v="OK"/>
    <x v="2"/>
    <x v="0"/>
    <s v="OK"/>
  </r>
  <r>
    <s v="PAT-000084"/>
    <x v="80"/>
    <d v="1988-03-04T00:00:00"/>
    <x v="1"/>
    <x v="1"/>
    <s v="Physical Therapy"/>
    <x v="16"/>
    <x v="79"/>
    <d v="2025-09-30T00:00:00"/>
    <n v="4481.0600000000004"/>
    <s v="Blue Cross"/>
    <x v="0"/>
    <n v="5"/>
    <s v="OK"/>
    <n v="37"/>
    <s v="OK"/>
    <x v="0"/>
    <x v="1"/>
    <s v="OK"/>
  </r>
  <r>
    <s v="PAT-000085"/>
    <x v="81"/>
    <d v="2025-01-05T00:00:00"/>
    <x v="0"/>
    <x v="4"/>
    <s v="Pulmonary Function Test"/>
    <x v="7"/>
    <x v="80"/>
    <d v="2026-05-12T00:00:00"/>
    <n v="2287.37"/>
    <s v="Cigna"/>
    <x v="0"/>
    <n v="12"/>
    <s v="OK"/>
    <n v="1"/>
    <s v="OK"/>
    <x v="1"/>
    <x v="0"/>
    <s v="OK"/>
  </r>
  <r>
    <s v="PAT-000086"/>
    <x v="82"/>
    <d v="1974-02-05T00:00:00"/>
    <x v="0"/>
    <x v="1"/>
    <s v="Physical Therapy"/>
    <x v="19"/>
    <x v="23"/>
    <d v="2024-11-17T00:00:00"/>
    <n v="3924.8"/>
    <s v="Aetna"/>
    <x v="0"/>
    <n v="9"/>
    <s v="OK"/>
    <n v="50"/>
    <s v="OK"/>
    <x v="0"/>
    <x v="0"/>
    <s v="OK"/>
  </r>
  <r>
    <s v="PAT-000087"/>
    <x v="83"/>
    <d v="1951-11-21T00:00:00"/>
    <x v="0"/>
    <x v="8"/>
    <s v="Neurological Assessment"/>
    <x v="19"/>
    <x v="81"/>
    <d v="2025-07-23T00:00:00"/>
    <n v="773"/>
    <s v="Aetna"/>
    <x v="0"/>
    <n v="6"/>
    <s v="OK"/>
    <n v="73"/>
    <s v="OK"/>
    <x v="2"/>
    <x v="1"/>
    <s v="OK"/>
  </r>
  <r>
    <s v="PAT-000088"/>
    <x v="84"/>
    <d v="1984-01-15T00:00:00"/>
    <x v="0"/>
    <x v="7"/>
    <s v="Urinalysis + Antibiotics"/>
    <x v="1"/>
    <x v="82"/>
    <d v="2026-04-29T00:00:00"/>
    <n v="623.74"/>
    <s v="UnitedHealth"/>
    <x v="0"/>
    <n v="7"/>
    <s v="OK"/>
    <n v="42"/>
    <s v="OK"/>
    <x v="0"/>
    <x v="1"/>
    <s v="OK"/>
  </r>
  <r>
    <s v="PAT-000089"/>
    <x v="85"/>
    <d v="1991-06-10T00:00:00"/>
    <x v="1"/>
    <x v="10"/>
    <s v="Appendectomy"/>
    <x v="12"/>
    <x v="83"/>
    <d v="2025-03-03T00:00:00"/>
    <n v="10749.75"/>
    <s v="Medicare"/>
    <x v="0"/>
    <n v="13"/>
    <s v="OK"/>
    <n v="33"/>
    <s v="OK"/>
    <x v="0"/>
    <x v="0"/>
    <s v="OK"/>
  </r>
  <r>
    <s v="PAT-000090"/>
    <x v="86"/>
    <d v="1936-10-09T00:00:00"/>
    <x v="0"/>
    <x v="2"/>
    <s v="Cardiac Catheterization"/>
    <x v="7"/>
    <x v="84"/>
    <d v="2026-04-26T00:00:00"/>
    <n v="26882.639999999999"/>
    <s v="Cigna"/>
    <x v="0"/>
    <n v="12"/>
    <s v="OK"/>
    <n v="89"/>
    <s v="OK"/>
    <x v="2"/>
    <x v="0"/>
    <s v="OK"/>
  </r>
  <r>
    <s v="PAT-000091"/>
    <x v="87"/>
    <d v="2012-01-26T00:00:00"/>
    <x v="1"/>
    <x v="0"/>
    <s v="Glucose Monitoring"/>
    <x v="18"/>
    <x v="52"/>
    <d v="2026-06-11T00:00:00"/>
    <n v="2739.96"/>
    <s v="Self-Pay"/>
    <x v="0"/>
    <n v="13"/>
    <s v="OK"/>
    <n v="14"/>
    <s v="OK"/>
    <x v="3"/>
    <x v="0"/>
    <s v="OK"/>
  </r>
  <r>
    <s v="PAT-000092"/>
    <x v="88"/>
    <d v="1976-01-03T00:00:00"/>
    <x v="1"/>
    <x v="1"/>
    <s v="Physical Therapy"/>
    <x v="13"/>
    <x v="85"/>
    <d v="2025-07-29T00:00:00"/>
    <n v="1344.47"/>
    <s v="Medicaid"/>
    <x v="0"/>
    <n v="7"/>
    <s v="OK"/>
    <n v="49"/>
    <s v="OK"/>
    <x v="0"/>
    <x v="1"/>
    <s v="OK"/>
  </r>
  <r>
    <s v="PAT-000093"/>
    <x v="89"/>
    <d v="2013-11-17T00:00:00"/>
    <x v="1"/>
    <x v="5"/>
    <s v="Casting/Surgery"/>
    <x v="17"/>
    <x v="86"/>
    <d v="2026-01-31T00:00:00"/>
    <n v="14704.48"/>
    <s v="Medicaid"/>
    <x v="0"/>
    <n v="5"/>
    <s v="OK"/>
    <n v="12"/>
    <s v="OK"/>
    <x v="1"/>
    <x v="1"/>
    <s v="OK"/>
  </r>
  <r>
    <s v="PAT-000094"/>
    <x v="90"/>
    <d v="2019-02-05T00:00:00"/>
    <x v="0"/>
    <x v="10"/>
    <s v="Appendectomy"/>
    <x v="15"/>
    <x v="87"/>
    <d v="2025-10-29T00:00:00"/>
    <n v="17704.04"/>
    <s v="UnitedHealth"/>
    <x v="0"/>
    <n v="6"/>
    <s v="OK"/>
    <n v="6"/>
    <s v="OK"/>
    <x v="1"/>
    <x v="1"/>
    <s v="OK"/>
  </r>
  <r>
    <s v="PAT-000095"/>
    <x v="91"/>
    <d v="1992-10-25T00:00:00"/>
    <x v="0"/>
    <x v="14"/>
    <s v="Psychiatric Evaluation"/>
    <x v="16"/>
    <x v="88"/>
    <d v="2024-10-28T00:00:00"/>
    <n v="1078.8900000000001"/>
    <s v="Aetna"/>
    <x v="0"/>
    <n v="5"/>
    <s v="OK"/>
    <n v="31"/>
    <s v="OK"/>
    <x v="0"/>
    <x v="1"/>
    <s v="OK"/>
  </r>
  <r>
    <s v="PAT-000096"/>
    <x v="92"/>
    <d v="2018-03-26T00:00:00"/>
    <x v="2"/>
    <x v="12"/>
    <s v="Allergy Testing"/>
    <x v="9"/>
    <x v="89"/>
    <d v="2026-05-29T00:00:00"/>
    <n v="1484.86"/>
    <s v="Medicare"/>
    <x v="0"/>
    <n v="4"/>
    <s v="OK"/>
    <n v="8"/>
    <s v="OK"/>
    <x v="1"/>
    <x v="1"/>
    <s v="OK"/>
  </r>
  <r>
    <s v="PAT-000097"/>
    <x v="93"/>
    <d v="2001-05-16T00:00:00"/>
    <x v="1"/>
    <x v="6"/>
    <s v="Respiratory Treatment"/>
    <x v="5"/>
    <x v="90"/>
    <d v="2026-09-20T00:00:00"/>
    <n v="1475.23"/>
    <s v="Medicaid"/>
    <x v="0"/>
    <n v="2"/>
    <s v="OK"/>
    <n v="25"/>
    <s v="OK"/>
    <x v="0"/>
    <x v="2"/>
    <s v="OK"/>
  </r>
  <r>
    <s v="PAT-000098"/>
    <x v="94"/>
    <d v="1937-12-16T00:00:00"/>
    <x v="2"/>
    <x v="9"/>
    <s v="Dermatological Treatment"/>
    <x v="16"/>
    <x v="91"/>
    <d v="2025-05-01T00:00:00"/>
    <n v="667.35"/>
    <s v="Aetna"/>
    <x v="0"/>
    <n v="7"/>
    <s v="OK"/>
    <n v="87"/>
    <s v="OK"/>
    <x v="2"/>
    <x v="1"/>
    <s v="OK"/>
  </r>
  <r>
    <s v="PAT-000099"/>
    <x v="95"/>
    <d v="1941-11-05T00:00:00"/>
    <x v="1"/>
    <x v="13"/>
    <s v="Chest X-Ray + Treatment"/>
    <x v="2"/>
    <x v="92"/>
    <d v="2025-06-06T00:00:00"/>
    <n v="7923.4"/>
    <s v="Cigna"/>
    <x v="0"/>
    <n v="4"/>
    <s v="OK"/>
    <n v="83"/>
    <s v="OK"/>
    <x v="2"/>
    <x v="1"/>
    <s v="OK"/>
  </r>
  <r>
    <s v="PAT-000100"/>
    <x v="96"/>
    <d v="1962-03-16T00:00:00"/>
    <x v="1"/>
    <x v="9"/>
    <s v="Dermatological Treatment"/>
    <x v="10"/>
    <x v="35"/>
    <d v="2025-12-10T00:00:00"/>
    <n v="1392.28"/>
    <s v="Self-Pay"/>
    <x v="0"/>
    <n v="2"/>
    <s v="OK"/>
    <n v="63"/>
    <s v="OK"/>
    <x v="2"/>
    <x v="2"/>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Diagnosis">
  <location ref="A3:B19" firstHeaderRow="1" firstDataRow="1" firstDataCol="1"/>
  <pivotFields count="20">
    <pivotField showAll="0"/>
    <pivotField showAll="0"/>
    <pivotField numFmtId="164" showAll="0"/>
    <pivotField showAll="0">
      <items count="4">
        <item x="0"/>
        <item x="1"/>
        <item x="2"/>
        <item t="default"/>
      </items>
    </pivotField>
    <pivotField axis="axisRow" dataField="1" showAll="0" sortType="descending">
      <items count="16">
        <item x="12"/>
        <item x="10"/>
        <item x="3"/>
        <item x="4"/>
        <item x="1"/>
        <item x="6"/>
        <item x="14"/>
        <item x="5"/>
        <item x="2"/>
        <item x="11"/>
        <item x="8"/>
        <item x="13"/>
        <item x="9"/>
        <item x="0"/>
        <item x="7"/>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showAll="0" defaultSubtotal="0">
      <items count="5">
        <item x="0"/>
        <item x="1"/>
        <item x="2"/>
        <item x="3"/>
        <item x="4"/>
      </items>
    </pivotField>
  </pivotFields>
  <rowFields count="1">
    <field x="4"/>
  </rowFields>
  <rowItems count="16">
    <i>
      <x v="6"/>
    </i>
    <i>
      <x v="1"/>
    </i>
    <i>
      <x v="7"/>
    </i>
    <i>
      <x v="13"/>
    </i>
    <i>
      <x v="2"/>
    </i>
    <i>
      <x v="12"/>
    </i>
    <i>
      <x v="11"/>
    </i>
    <i>
      <x v="4"/>
    </i>
    <i>
      <x v="5"/>
    </i>
    <i>
      <x/>
    </i>
    <i>
      <x v="8"/>
    </i>
    <i>
      <x v="14"/>
    </i>
    <i>
      <x v="10"/>
    </i>
    <i>
      <x v="3"/>
    </i>
    <i>
      <x v="9"/>
    </i>
    <i t="grand">
      <x/>
    </i>
  </rowItems>
  <colItems count="1">
    <i/>
  </colItems>
  <dataFields count="1">
    <dataField name="Count of Diagnosis" fld="4"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3">
  <location ref="A3:B30" firstHeaderRow="1" firstDataRow="1" firstDataCol="1"/>
  <pivotFields count="20">
    <pivotField dataField="1" showAll="0"/>
    <pivotField showAll="0"/>
    <pivotField numFmtId="164" showAll="0"/>
    <pivotField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axis="axisRow" showAll="0" defaultSubtotal="0">
      <items count="5">
        <item x="0"/>
        <item x="1"/>
        <item x="2"/>
        <item x="3"/>
        <item x="4"/>
      </items>
    </pivotField>
  </pivotFields>
  <rowFields count="2">
    <field x="19"/>
    <field x="7"/>
  </rowFields>
  <rowItems count="27">
    <i>
      <x v="1"/>
    </i>
    <i r="1">
      <x v="10"/>
    </i>
    <i r="1">
      <x v="11"/>
    </i>
    <i r="1">
      <x v="12"/>
    </i>
    <i>
      <x v="2"/>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Count of Patient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location ref="A3:B30" firstHeaderRow="1" firstDataRow="1" firstDataCol="1"/>
  <pivotFields count="20">
    <pivotField showAll="0"/>
    <pivotField showAll="0"/>
    <pivotField numFmtId="164" showAll="0"/>
    <pivotField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dataField="1" showAll="0"/>
    <pivotField showAll="0"/>
    <pivotField showAll="0"/>
    <pivotField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axis="axisRow" showAll="0" defaultSubtotal="0">
      <items count="5">
        <item x="0"/>
        <item x="1"/>
        <item x="2"/>
        <item x="3"/>
        <item x="4"/>
      </items>
    </pivotField>
  </pivotFields>
  <rowFields count="2">
    <field x="19"/>
    <field x="7"/>
  </rowFields>
  <rowItems count="27">
    <i>
      <x v="1"/>
    </i>
    <i r="1">
      <x v="10"/>
    </i>
    <i r="1">
      <x v="11"/>
    </i>
    <i r="1">
      <x v="12"/>
    </i>
    <i>
      <x v="2"/>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Total Charges" fld="9" baseField="0" baseItem="0"/>
  </dataFields>
  <formats count="6">
    <format dxfId="11">
      <pivotArea collapsedLevelsAreSubtotals="1" fieldPosition="0">
        <references count="2">
          <reference field="7" count="3">
            <x v="10"/>
            <x v="11"/>
            <x v="12"/>
          </reference>
          <reference field="19" count="1" selected="0">
            <x v="1"/>
          </reference>
        </references>
      </pivotArea>
    </format>
    <format dxfId="10">
      <pivotArea collapsedLevelsAreSubtotals="1" fieldPosition="0">
        <references count="1">
          <reference field="19" count="1">
            <x v="2"/>
          </reference>
        </references>
      </pivotArea>
    </format>
    <format dxfId="9">
      <pivotArea collapsedLevelsAreSubtotals="1" fieldPosition="0">
        <references count="2">
          <reference field="7" count="11">
            <x v="2"/>
            <x v="3"/>
            <x v="4"/>
            <x v="5"/>
            <x v="6"/>
            <x v="7"/>
            <x v="8"/>
            <x v="9"/>
            <x v="10"/>
            <x v="11"/>
            <x v="12"/>
          </reference>
          <reference field="19" count="1" selected="0">
            <x v="2"/>
          </reference>
        </references>
      </pivotArea>
    </format>
    <format dxfId="8">
      <pivotArea collapsedLevelsAreSubtotals="1" fieldPosition="0">
        <references count="1">
          <reference field="19" count="1">
            <x v="3"/>
          </reference>
        </references>
      </pivotArea>
    </format>
    <format dxfId="7">
      <pivotArea collapsedLevelsAreSubtotals="1" fieldPosition="0">
        <references count="2">
          <reference field="7" count="9">
            <x v="1"/>
            <x v="2"/>
            <x v="3"/>
            <x v="4"/>
            <x v="5"/>
            <x v="6"/>
            <x v="7"/>
            <x v="8"/>
            <x v="9"/>
          </reference>
          <reference field="19" count="1" selected="0">
            <x v="3"/>
          </reference>
        </references>
      </pivotArea>
    </format>
    <format dxfId="6">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Age Group">
  <location ref="A3:B9" firstHeaderRow="1" firstDataRow="1" firstDataCol="1"/>
  <pivotFields count="20">
    <pivotField showAll="0"/>
    <pivotField showAll="0">
      <items count="98">
        <item x="65"/>
        <item x="39"/>
        <item x="52"/>
        <item x="36"/>
        <item x="87"/>
        <item x="92"/>
        <item x="1"/>
        <item x="7"/>
        <item x="10"/>
        <item x="6"/>
        <item x="63"/>
        <item x="21"/>
        <item x="45"/>
        <item x="91"/>
        <item x="0"/>
        <item x="57"/>
        <item x="48"/>
        <item x="4"/>
        <item x="58"/>
        <item x="8"/>
        <item x="84"/>
        <item x="43"/>
        <item x="56"/>
        <item x="15"/>
        <item x="71"/>
        <item x="73"/>
        <item x="32"/>
        <item x="14"/>
        <item x="78"/>
        <item x="46"/>
        <item x="31"/>
        <item x="89"/>
        <item x="68"/>
        <item x="17"/>
        <item x="28"/>
        <item x="67"/>
        <item x="82"/>
        <item x="30"/>
        <item x="11"/>
        <item x="5"/>
        <item x="54"/>
        <item x="12"/>
        <item x="29"/>
        <item x="40"/>
        <item x="61"/>
        <item x="9"/>
        <item x="86"/>
        <item x="42"/>
        <item x="79"/>
        <item x="37"/>
        <item x="66"/>
        <item x="3"/>
        <item x="41"/>
        <item x="64"/>
        <item x="76"/>
        <item x="47"/>
        <item x="24"/>
        <item x="53"/>
        <item x="51"/>
        <item x="22"/>
        <item x="70"/>
        <item x="50"/>
        <item x="88"/>
        <item x="93"/>
        <item x="95"/>
        <item x="13"/>
        <item x="94"/>
        <item x="26"/>
        <item x="69"/>
        <item x="85"/>
        <item x="34"/>
        <item x="19"/>
        <item x="59"/>
        <item x="33"/>
        <item x="72"/>
        <item x="16"/>
        <item x="27"/>
        <item x="74"/>
        <item x="38"/>
        <item x="62"/>
        <item x="90"/>
        <item x="96"/>
        <item x="60"/>
        <item x="44"/>
        <item x="35"/>
        <item x="55"/>
        <item x="77"/>
        <item x="80"/>
        <item x="83"/>
        <item x="81"/>
        <item x="2"/>
        <item x="18"/>
        <item x="23"/>
        <item x="20"/>
        <item x="25"/>
        <item x="49"/>
        <item x="75"/>
        <item t="default"/>
      </items>
    </pivotField>
    <pivotField numFmtId="164" showAll="0"/>
    <pivotField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items count="21">
        <item x="2"/>
        <item x="16"/>
        <item x="17"/>
        <item x="18"/>
        <item x="6"/>
        <item x="0"/>
        <item x="14"/>
        <item x="5"/>
        <item x="9"/>
        <item x="8"/>
        <item x="10"/>
        <item x="4"/>
        <item x="15"/>
        <item x="19"/>
        <item x="1"/>
        <item x="12"/>
        <item x="11"/>
        <item x="7"/>
        <item x="3"/>
        <item x="13"/>
        <item t="default"/>
      </items>
    </pivotField>
    <pivotField numFmtId="164" showAll="0"/>
    <pivotField numFmtId="164" showAll="0"/>
    <pivotField showAll="0"/>
    <pivotField showAll="0"/>
    <pivotField showAll="0">
      <items count="2">
        <item x="0"/>
        <item t="default"/>
      </items>
    </pivotField>
    <pivotField dataField="1" showAll="0"/>
    <pivotField showAll="0"/>
    <pivotField showAll="0"/>
    <pivotField showAll="0"/>
    <pivotField axis="axisRow" showAll="0">
      <items count="6">
        <item x="3"/>
        <item x="0"/>
        <item x="1"/>
        <item x="4"/>
        <item x="2"/>
        <item t="default"/>
      </items>
    </pivotField>
    <pivotField showAll="0">
      <items count="4">
        <item x="2"/>
        <item x="1"/>
        <item x="0"/>
        <item t="default"/>
      </items>
    </pivotField>
    <pivotField showAll="0"/>
    <pivotField showAll="0" defaultSubtotal="0"/>
  </pivotFields>
  <rowFields count="1">
    <field x="16"/>
  </rowFields>
  <rowItems count="6">
    <i>
      <x/>
    </i>
    <i>
      <x v="1"/>
    </i>
    <i>
      <x v="2"/>
    </i>
    <i>
      <x v="3"/>
    </i>
    <i>
      <x v="4"/>
    </i>
    <i t="grand">
      <x/>
    </i>
  </rowItems>
  <colItems count="1">
    <i/>
  </colItems>
  <dataFields count="1">
    <dataField name="Average of Length of Stay" fld="12" subtotal="average" baseField="0" baseItem="0" numFmtId="2"/>
  </dataFields>
  <formats count="1">
    <format dxfId="5">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9" firstHeaderRow="1" firstDataRow="1" firstDataCol="1"/>
  <pivotFields count="20">
    <pivotField showAll="0"/>
    <pivotField showAll="0"/>
    <pivotField numFmtId="164" showAll="0"/>
    <pivotField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pivotField numFmtId="164" showAll="0"/>
    <pivotField numFmtId="164" showAll="0"/>
    <pivotField dataField="1" showAll="0"/>
    <pivotField showAll="0"/>
    <pivotField showAll="0"/>
    <pivotField showAll="0"/>
    <pivotField showAll="0"/>
    <pivotField showAll="0"/>
    <pivotField showAll="0"/>
    <pivotField axis="axisRow" showAll="0">
      <items count="6">
        <item x="3"/>
        <item x="0"/>
        <item x="1"/>
        <item x="4"/>
        <item x="2"/>
        <item t="default"/>
      </items>
    </pivotField>
    <pivotField showAll="0">
      <items count="4">
        <item x="2"/>
        <item x="1"/>
        <item x="0"/>
        <item t="default"/>
      </items>
    </pivotField>
    <pivotField showAll="0"/>
    <pivotField showAll="0" defaultSubtotal="0"/>
  </pivotFields>
  <rowFields count="1">
    <field x="16"/>
  </rowFields>
  <rowItems count="6">
    <i>
      <x/>
    </i>
    <i>
      <x v="1"/>
    </i>
    <i>
      <x v="2"/>
    </i>
    <i>
      <x v="3"/>
    </i>
    <i>
      <x v="4"/>
    </i>
    <i t="grand">
      <x/>
    </i>
  </rowItems>
  <colItems count="1">
    <i/>
  </colItems>
  <dataFields count="1">
    <dataField name="Average of Total Charges" fld="9" subtotal="average" baseField="0" baseItem="0"/>
  </dataFields>
  <formats count="3">
    <format dxfId="4">
      <pivotArea collapsedLevelsAreSubtotals="1" fieldPosition="0">
        <references count="1">
          <reference field="16" count="1">
            <x v="0"/>
          </reference>
        </references>
      </pivotArea>
    </format>
    <format dxfId="3">
      <pivotArea collapsedLevelsAreSubtotals="1" fieldPosition="0">
        <references count="1">
          <reference field="16" count="4">
            <x v="1"/>
            <x v="2"/>
            <x v="3"/>
            <x v="4"/>
          </reference>
        </references>
      </pivotArea>
    </format>
    <format dxfId="2">
      <pivotArea grandRow="1"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7" firstHeaderRow="1" firstDataRow="1" firstDataCol="1"/>
  <pivotFields count="20">
    <pivotField dataField="1" showAll="0"/>
    <pivotField showAll="0"/>
    <pivotField numFmtId="164" showAll="0"/>
    <pivotField axis="axisRow"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showAll="0" defaultSubtotal="0"/>
  </pivotFields>
  <rowFields count="1">
    <field x="3"/>
  </rowFields>
  <rowItems count="4">
    <i>
      <x/>
    </i>
    <i>
      <x v="1"/>
    </i>
    <i>
      <x v="2"/>
    </i>
    <i t="grand">
      <x/>
    </i>
  </rowItems>
  <colItems count="1">
    <i/>
  </colItems>
  <dataFields count="1">
    <dataField name="Count of Patient 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19" firstHeaderRow="1" firstDataRow="1" firstDataCol="1"/>
  <pivotFields count="20">
    <pivotField showAll="0"/>
    <pivotField showAll="0"/>
    <pivotField numFmtId="164" showAll="0"/>
    <pivotField showAll="0">
      <items count="4">
        <item x="0"/>
        <item x="1"/>
        <item x="2"/>
        <item t="default"/>
      </items>
    </pivotField>
    <pivotField axis="axisRow" showAll="0" sortType="descending">
      <items count="16">
        <item x="12"/>
        <item x="10"/>
        <item x="3"/>
        <item x="4"/>
        <item x="1"/>
        <item x="6"/>
        <item x="14"/>
        <item x="5"/>
        <item x="2"/>
        <item x="11"/>
        <item x="8"/>
        <item x="13"/>
        <item x="9"/>
        <item x="0"/>
        <item x="7"/>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showAll="0"/>
    <pivotField showAll="0"/>
    <pivotField showAll="0"/>
    <pivotField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showAll="0" defaultSubtotal="0"/>
  </pivotFields>
  <rowFields count="1">
    <field x="4"/>
  </rowFields>
  <rowItems count="16">
    <i>
      <x v="8"/>
    </i>
    <i>
      <x v="1"/>
    </i>
    <i>
      <x v="7"/>
    </i>
    <i>
      <x v="11"/>
    </i>
    <i>
      <x v="4"/>
    </i>
    <i>
      <x v="6"/>
    </i>
    <i>
      <x v="2"/>
    </i>
    <i>
      <x v="13"/>
    </i>
    <i>
      <x v="5"/>
    </i>
    <i>
      <x/>
    </i>
    <i>
      <x v="12"/>
    </i>
    <i>
      <x v="3"/>
    </i>
    <i>
      <x v="10"/>
    </i>
    <i>
      <x v="14"/>
    </i>
    <i>
      <x v="9"/>
    </i>
    <i t="grand">
      <x/>
    </i>
  </rowItems>
  <colItems count="1">
    <i/>
  </colItems>
  <dataFields count="1">
    <dataField name="Sum of Total Charges" fld="9" baseField="0" baseItem="0" numFmtId="165"/>
  </dataFields>
  <formats count="1">
    <format dxfId="1">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19" firstHeaderRow="1" firstDataRow="1" firstDataCol="1"/>
  <pivotFields count="20">
    <pivotField showAll="0"/>
    <pivotField showAll="0"/>
    <pivotField numFmtId="164" showAll="0"/>
    <pivotField showAll="0">
      <items count="4">
        <item x="0"/>
        <item x="1"/>
        <item x="2"/>
        <item t="default"/>
      </items>
    </pivotField>
    <pivotField axis="axisRow" showAll="0" sortType="descending">
      <items count="16">
        <item x="12"/>
        <item x="10"/>
        <item x="3"/>
        <item x="4"/>
        <item x="1"/>
        <item x="6"/>
        <item x="14"/>
        <item x="5"/>
        <item x="2"/>
        <item x="11"/>
        <item x="8"/>
        <item x="13"/>
        <item x="9"/>
        <item x="0"/>
        <item x="7"/>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showAll="0"/>
    <pivotField showAll="0"/>
    <pivotField showAll="0"/>
    <pivotField dataField="1" showAll="0"/>
    <pivotField showAll="0"/>
    <pivotField showAll="0"/>
    <pivotField showAll="0"/>
    <pivotField showAll="0">
      <items count="6">
        <item x="3"/>
        <item x="0"/>
        <item x="1"/>
        <item x="4"/>
        <item x="2"/>
        <item t="default"/>
      </items>
    </pivotField>
    <pivotField showAll="0">
      <items count="4">
        <item x="2"/>
        <item x="1"/>
        <item x="0"/>
        <item t="default"/>
      </items>
    </pivotField>
    <pivotField showAll="0"/>
    <pivotField showAll="0" defaultSubtotal="0"/>
  </pivotFields>
  <rowFields count="1">
    <field x="4"/>
  </rowFields>
  <rowItems count="16">
    <i>
      <x v="3"/>
    </i>
    <i>
      <x v="10"/>
    </i>
    <i>
      <x v="5"/>
    </i>
    <i>
      <x v="7"/>
    </i>
    <i>
      <x v="13"/>
    </i>
    <i>
      <x v="14"/>
    </i>
    <i>
      <x v="1"/>
    </i>
    <i>
      <x v="9"/>
    </i>
    <i>
      <x v="8"/>
    </i>
    <i>
      <x v="2"/>
    </i>
    <i>
      <x v="4"/>
    </i>
    <i>
      <x v="11"/>
    </i>
    <i>
      <x/>
    </i>
    <i>
      <x v="6"/>
    </i>
    <i>
      <x v="12"/>
    </i>
    <i t="grand">
      <x/>
    </i>
  </rowItems>
  <colItems count="1">
    <i/>
  </colItems>
  <dataFields count="1">
    <dataField name="Average of Length of Stay" fld="12" subtotal="average" baseField="0" baseItem="0" numFmtId="2"/>
  </dataFields>
  <formats count="1">
    <format dxfId="0">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B7" firstHeaderRow="1" firstDataRow="1" firstDataCol="1"/>
  <pivotFields count="20">
    <pivotField dataField="1" showAll="0"/>
    <pivotField showAll="0"/>
    <pivotField numFmtId="164" showAll="0"/>
    <pivotField showAll="0">
      <items count="4">
        <item x="0"/>
        <item x="1"/>
        <item x="2"/>
        <item t="default"/>
      </items>
    </pivotField>
    <pivotField showAll="0">
      <items count="16">
        <item x="12"/>
        <item x="10"/>
        <item x="3"/>
        <item x="4"/>
        <item x="1"/>
        <item x="6"/>
        <item x="14"/>
        <item x="5"/>
        <item x="2"/>
        <item x="11"/>
        <item x="8"/>
        <item x="13"/>
        <item x="9"/>
        <item x="0"/>
        <item x="7"/>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items count="6">
        <item x="3"/>
        <item x="0"/>
        <item x="1"/>
        <item x="4"/>
        <item x="2"/>
        <item t="default"/>
      </items>
    </pivotField>
    <pivotField axis="axisRow" showAll="0">
      <items count="4">
        <item x="2"/>
        <item x="1"/>
        <item x="0"/>
        <item t="default"/>
      </items>
    </pivotField>
    <pivotField showAll="0"/>
    <pivotField showAll="0" defaultSubtotal="0"/>
  </pivotFields>
  <rowFields count="1">
    <field x="17"/>
  </rowFields>
  <rowItems count="4">
    <i>
      <x/>
    </i>
    <i>
      <x v="1"/>
    </i>
    <i>
      <x v="2"/>
    </i>
    <i t="grand">
      <x/>
    </i>
  </rowItems>
  <colItems count="1">
    <i/>
  </colItems>
  <dataFields count="1">
    <dataField name="Count of Patient 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7" name="PivotTable2"/>
    <pivotTable tabId="11" name="PivotTable6"/>
    <pivotTable tabId="9" name="PivotTable4"/>
    <pivotTable tabId="10" name="PivotTable5"/>
    <pivotTable tabId="13" name="PivotTable8"/>
    <pivotTable tabId="8" name="PivotTable3"/>
    <pivotTable tabId="14" name="PivotTable9"/>
    <pivotTable tabId="6" name="PivotTable1"/>
    <pivotTable tabId="12" name="PivotTable7"/>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00000000-0013-0000-FFFF-FFFF02000000}" sourceName="Diagnosis">
  <pivotTables>
    <pivotTable tabId="7" name="PivotTable2"/>
    <pivotTable tabId="11" name="PivotTable6"/>
    <pivotTable tabId="9" name="PivotTable4"/>
    <pivotTable tabId="10" name="PivotTable5"/>
    <pivotTable tabId="13" name="PivotTable8"/>
    <pivotTable tabId="8" name="PivotTable3"/>
    <pivotTable tabId="14" name="PivotTable9"/>
    <pivotTable tabId="6" name="PivotTable1"/>
    <pivotTable tabId="12" name="PivotTable7"/>
  </pivotTables>
  <data>
    <tabular pivotCacheId="1">
      <items count="15">
        <i x="12" s="1"/>
        <i x="10" s="1"/>
        <i x="3" s="1"/>
        <i x="4" s="1"/>
        <i x="1" s="1"/>
        <i x="6" s="1"/>
        <i x="14" s="1"/>
        <i x="5" s="1"/>
        <i x="2" s="1"/>
        <i x="11" s="1"/>
        <i x="8" s="1"/>
        <i x="13" s="1"/>
        <i x="9"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3000000}" sourceName="Age Group">
  <pivotTables>
    <pivotTable tabId="7" name="PivotTable2"/>
    <pivotTable tabId="11" name="PivotTable6"/>
    <pivotTable tabId="9" name="PivotTable4"/>
    <pivotTable tabId="10" name="PivotTable5"/>
    <pivotTable tabId="13" name="PivotTable8"/>
    <pivotTable tabId="8" name="PivotTable3"/>
    <pivotTable tabId="14" name="PivotTable9"/>
    <pivotTable tabId="6" name="PivotTable1"/>
    <pivotTable tabId="12" name="PivotTable7"/>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S_Category" xr10:uid="{00000000-0013-0000-FFFF-FFFF04000000}" sourceName="LoS Category">
  <pivotTables>
    <pivotTable tabId="7" name="PivotTable2"/>
    <pivotTable tabId="11" name="PivotTable6"/>
    <pivotTable tabId="9" name="PivotTable4"/>
    <pivotTable tabId="10" name="PivotTable5"/>
    <pivotTable tabId="13" name="PivotTable8"/>
    <pivotTable tabId="8" name="PivotTable3"/>
    <pivotTable tabId="14" name="PivotTable9"/>
    <pivotTable tabId="6" name="PivotTable1"/>
    <pivotTable tabId="12" name="PivotTable7"/>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57175"/>
  <slicer name="Diagnosis" xr10:uid="{00000000-0014-0000-FFFF-FFFF02000000}" cache="Slicer_Diagnosis" caption="Diagnosis" rowHeight="257175"/>
  <slicer name="Age Group" xr10:uid="{00000000-0014-0000-FFFF-FFFF03000000}" cache="Slicer_Age_Group" caption="Age Group" rowHeight="257175"/>
  <slicer name="LoS Category" xr10:uid="{00000000-0014-0000-FFFF-FFFF04000000}" cache="Slicer_LoS_Category" caption="LoS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spitalData" displayName="HospitalData" ref="A1:S101" totalsRowShown="0">
  <autoFilter ref="A1:S101" xr:uid="{00000000-0009-0000-0100-000001000000}"/>
  <tableColumns count="19">
    <tableColumn id="1" xr3:uid="{00000000-0010-0000-0000-000001000000}" name="Patient ID"/>
    <tableColumn id="2" xr3:uid="{00000000-0010-0000-0000-000002000000}" name="Patient Name"/>
    <tableColumn id="3" xr3:uid="{00000000-0010-0000-0000-000003000000}" name="Date of Birth" dataDxfId="22"/>
    <tableColumn id="4" xr3:uid="{00000000-0010-0000-0000-000004000000}" name="Gender"/>
    <tableColumn id="5" xr3:uid="{00000000-0010-0000-0000-000005000000}" name="Diagnosis"/>
    <tableColumn id="6" xr3:uid="{00000000-0010-0000-0000-000006000000}" name="Procedure"/>
    <tableColumn id="7" xr3:uid="{00000000-0010-0000-0000-000007000000}" name="Provider"/>
    <tableColumn id="8" xr3:uid="{00000000-0010-0000-0000-000008000000}" name="Admission Date" dataDxfId="21"/>
    <tableColumn id="9" xr3:uid="{00000000-0010-0000-0000-000009000000}" name="Discharge Date" dataDxfId="20"/>
    <tableColumn id="10" xr3:uid="{00000000-0010-0000-0000-00000A000000}" name="Total Charges"/>
    <tableColumn id="11" xr3:uid="{00000000-0010-0000-0000-00000B000000}" name="Insurance"/>
    <tableColumn id="19" xr3:uid="{00000000-0010-0000-0000-000013000000}" name="Date Check" dataDxfId="19">
      <calculatedColumnFormula>AND(ISNUMBER(C:C),ISNUMBER(H:H),ISNUMBER(I:I))</calculatedColumnFormula>
    </tableColumn>
    <tableColumn id="12" xr3:uid="{00000000-0010-0000-0000-00000C000000}" name="Length of Stay" dataDxfId="18">
      <calculatedColumnFormula>HospitalData[[#This Row],[Discharge Date]]-HospitalData[[#This Row],[Admission Date]]</calculatedColumnFormula>
    </tableColumn>
    <tableColumn id="14" xr3:uid="{00000000-0010-0000-0000-00000E000000}" name="LoS Check" dataDxfId="17">
      <calculatedColumnFormula>IF(HospitalData[[#This Row],[Length of Stay]]&lt;0,"INVALID","OK")</calculatedColumnFormula>
    </tableColumn>
    <tableColumn id="15" xr3:uid="{00000000-0010-0000-0000-00000F000000}" name="Patient Age" dataDxfId="16">
      <calculatedColumnFormula>DATEDIF(HospitalData[[#This Row],[Date of Birth]],HospitalData[[#This Row],[Admission Date]],"y")</calculatedColumnFormula>
    </tableColumn>
    <tableColumn id="16" xr3:uid="{00000000-0010-0000-0000-000010000000}" name="Age Check" dataDxfId="15">
      <calculatedColumnFormula>IF(OR(HospitalData[[#This Row],[Patient Age]]&lt;0,HospitalData[[#This Row],[Patient Age]]&gt;120),"INVALID","OK")</calculatedColumnFormula>
    </tableColumn>
    <tableColumn id="13" xr3:uid="{00000000-0010-0000-0000-00000D000000}" name="Age Group" dataDxfId="14">
      <calculatedColumnFormula>IF(HospitalData[[#This Row],[Patient Age]]&lt;1,"Infant",IF(HospitalData[[#This Row],[Patient Age]]&lt;13,"Child",IF(HospitalData[[#This Row],[Patient Age]]&lt;18,"Adolescent",IF(HospitalData[[#This Row],[Patient Age]]&lt;60,"Adult","Senior"))))</calculatedColumnFormula>
    </tableColumn>
    <tableColumn id="17" xr3:uid="{00000000-0010-0000-0000-000011000000}" name="LoS Category" dataDxfId="13">
      <calculatedColumnFormula>IF(HospitalData[[#This Row],[Length of Stay]]=0,"Same Day",IF(HospitalData[[#This Row],[Length of Stay]]&lt;=3,"1-3 Days",IF(HospitalData[[#This Row],[Length of Stay]]&lt;=7,"4-7 Days","8+ Days")))</calculatedColumnFormula>
    </tableColumn>
    <tableColumn id="18" xr3:uid="{00000000-0010-0000-0000-000012000000}" name="Charges Check" dataDxfId="12">
      <calculatedColumnFormula>IF(HospitalData[[#This Row],[Total Charges]]&lt;0,"INVALID","OK")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00000000-0013-0000-FFFF-FFFF05000000}" sourceName="Admission Date">
  <pivotTables>
    <pivotTable tabId="7" name="PivotTable2"/>
  </pivotTables>
  <state minimalRefreshVersion="6" lastRefreshVersion="6" pivotCacheId="1"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00000000-0014-0000-FFFF-FFFF05000000}" cache="NativeTimeline_Admission_Date" caption="Admission Date" level="2" selectionLevel="2"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tabSelected="1" workbookViewId="0">
      <selection sqref="A1:H2"/>
    </sheetView>
  </sheetViews>
  <sheetFormatPr defaultRowHeight="15.75" x14ac:dyDescent="0.25"/>
  <sheetData>
    <row r="1" spans="1:8" x14ac:dyDescent="0.25">
      <c r="A1" s="17" t="s">
        <v>342</v>
      </c>
      <c r="B1" s="17"/>
      <c r="C1" s="17"/>
      <c r="D1" s="17"/>
      <c r="E1" s="17"/>
      <c r="F1" s="17"/>
      <c r="G1" s="17"/>
      <c r="H1" s="17"/>
    </row>
    <row r="2" spans="1:8" x14ac:dyDescent="0.25">
      <c r="A2" s="17"/>
      <c r="B2" s="17"/>
      <c r="C2" s="17"/>
      <c r="D2" s="17"/>
      <c r="E2" s="17"/>
      <c r="F2" s="17"/>
      <c r="G2" s="17"/>
      <c r="H2" s="17"/>
    </row>
    <row r="3" spans="1:8" ht="18.75" x14ac:dyDescent="0.25">
      <c r="A3" s="20" t="s">
        <v>343</v>
      </c>
      <c r="B3" s="20"/>
      <c r="C3" s="20"/>
      <c r="D3" s="20"/>
      <c r="E3" s="20"/>
      <c r="F3" s="20"/>
      <c r="G3" s="20"/>
      <c r="H3" s="20"/>
    </row>
    <row r="4" spans="1:8" ht="15.75" customHeight="1" x14ac:dyDescent="0.25">
      <c r="A4" s="21" t="s">
        <v>344</v>
      </c>
      <c r="B4" s="21"/>
      <c r="C4" s="21"/>
      <c r="D4" s="21"/>
      <c r="E4" s="21"/>
      <c r="F4" s="21"/>
      <c r="G4" s="21"/>
      <c r="H4" s="21"/>
    </row>
    <row r="5" spans="1:8" x14ac:dyDescent="0.25">
      <c r="A5" s="21"/>
      <c r="B5" s="21"/>
      <c r="C5" s="21"/>
      <c r="D5" s="21"/>
      <c r="E5" s="21"/>
      <c r="F5" s="21"/>
      <c r="G5" s="21"/>
      <c r="H5" s="21"/>
    </row>
    <row r="6" spans="1:8" ht="18.75" x14ac:dyDescent="0.25">
      <c r="A6" s="20" t="s">
        <v>345</v>
      </c>
      <c r="B6" s="20"/>
      <c r="C6" s="20"/>
      <c r="D6" s="20"/>
      <c r="E6" s="20"/>
      <c r="F6" s="20"/>
      <c r="G6" s="20"/>
      <c r="H6" s="20"/>
    </row>
    <row r="7" spans="1:8" ht="129.75" customHeight="1" x14ac:dyDescent="0.25">
      <c r="A7" s="22" t="s">
        <v>346</v>
      </c>
      <c r="B7" s="22"/>
      <c r="C7" s="22"/>
      <c r="D7" s="22"/>
      <c r="E7" s="22"/>
      <c r="F7" s="22"/>
      <c r="G7" s="22"/>
      <c r="H7" s="22"/>
    </row>
    <row r="8" spans="1:8" ht="18.75" x14ac:dyDescent="0.25">
      <c r="A8" s="20" t="s">
        <v>347</v>
      </c>
      <c r="B8" s="20"/>
      <c r="C8" s="20"/>
      <c r="D8" s="20"/>
      <c r="E8" s="20"/>
      <c r="F8" s="20"/>
      <c r="G8" s="20"/>
      <c r="H8" s="20"/>
    </row>
    <row r="9" spans="1:8" ht="33.75" customHeight="1" x14ac:dyDescent="0.25">
      <c r="A9" s="21" t="s">
        <v>348</v>
      </c>
      <c r="B9" s="21"/>
      <c r="C9" s="21"/>
      <c r="D9" s="21"/>
      <c r="E9" s="21"/>
      <c r="F9" s="21"/>
      <c r="G9" s="21"/>
      <c r="H9" s="21"/>
    </row>
    <row r="10" spans="1:8" ht="37.5" customHeight="1" x14ac:dyDescent="0.25">
      <c r="A10" s="21" t="s">
        <v>349</v>
      </c>
      <c r="B10" s="21"/>
      <c r="C10" s="21"/>
      <c r="D10" s="21"/>
      <c r="E10" s="21"/>
      <c r="F10" s="21"/>
      <c r="G10" s="21"/>
      <c r="H10" s="21"/>
    </row>
    <row r="11" spans="1:8" ht="36" customHeight="1" x14ac:dyDescent="0.25">
      <c r="A11" s="21" t="s">
        <v>350</v>
      </c>
      <c r="B11" s="21"/>
      <c r="C11" s="21"/>
      <c r="D11" s="21"/>
      <c r="E11" s="21"/>
      <c r="F11" s="21"/>
      <c r="G11" s="21"/>
      <c r="H11" s="21"/>
    </row>
    <row r="12" spans="1:8" ht="34.5" customHeight="1" x14ac:dyDescent="0.25">
      <c r="A12" s="21" t="s">
        <v>351</v>
      </c>
      <c r="B12" s="21"/>
      <c r="C12" s="21"/>
      <c r="D12" s="21"/>
      <c r="E12" s="21"/>
      <c r="F12" s="21"/>
      <c r="G12" s="21"/>
      <c r="H12" s="21"/>
    </row>
    <row r="13" spans="1:8" ht="24" customHeight="1" x14ac:dyDescent="0.25">
      <c r="A13" s="21" t="s">
        <v>352</v>
      </c>
      <c r="B13" s="21"/>
      <c r="C13" s="21"/>
      <c r="D13" s="21"/>
      <c r="E13" s="21"/>
      <c r="F13" s="21"/>
      <c r="G13" s="21"/>
      <c r="H13" s="21"/>
    </row>
    <row r="14" spans="1:8" ht="24" customHeight="1" x14ac:dyDescent="0.25">
      <c r="A14" s="21" t="s">
        <v>353</v>
      </c>
      <c r="B14" s="21"/>
      <c r="C14" s="21"/>
      <c r="D14" s="21"/>
      <c r="E14" s="21"/>
      <c r="F14" s="21"/>
      <c r="G14" s="21"/>
      <c r="H14" s="21"/>
    </row>
    <row r="15" spans="1:8" ht="18.75" x14ac:dyDescent="0.25">
      <c r="A15" s="20" t="s">
        <v>354</v>
      </c>
      <c r="B15" s="20"/>
      <c r="C15" s="20"/>
      <c r="D15" s="20"/>
      <c r="E15" s="20"/>
      <c r="F15" s="20"/>
      <c r="G15" s="20"/>
      <c r="H15" s="20"/>
    </row>
    <row r="16" spans="1:8" x14ac:dyDescent="0.25">
      <c r="A16" s="16" t="s">
        <v>355</v>
      </c>
      <c r="B16" s="16"/>
      <c r="C16" s="16"/>
      <c r="D16" s="16"/>
      <c r="E16" s="16"/>
      <c r="F16" s="16"/>
      <c r="G16" s="16"/>
      <c r="H16" s="16"/>
    </row>
    <row r="17" spans="1:8" x14ac:dyDescent="0.25">
      <c r="A17" s="16" t="s">
        <v>356</v>
      </c>
      <c r="B17" s="16"/>
      <c r="C17" s="16"/>
      <c r="D17" s="16"/>
      <c r="E17" s="16"/>
      <c r="F17" s="16"/>
      <c r="G17" s="16"/>
      <c r="H17" s="16"/>
    </row>
    <row r="18" spans="1:8" x14ac:dyDescent="0.25">
      <c r="A18" s="16" t="s">
        <v>357</v>
      </c>
      <c r="B18" s="16"/>
      <c r="C18" s="16"/>
      <c r="D18" s="16"/>
      <c r="E18" s="16"/>
      <c r="F18" s="16"/>
      <c r="G18" s="16"/>
      <c r="H18" s="16"/>
    </row>
    <row r="19" spans="1:8" x14ac:dyDescent="0.25">
      <c r="A19" s="16" t="s">
        <v>358</v>
      </c>
      <c r="B19" s="16"/>
      <c r="C19" s="16"/>
      <c r="D19" s="16"/>
      <c r="E19" s="16"/>
      <c r="F19" s="16"/>
      <c r="G19" s="16"/>
      <c r="H19" s="16"/>
    </row>
    <row r="20" spans="1:8" x14ac:dyDescent="0.25">
      <c r="A20" s="16" t="s">
        <v>359</v>
      </c>
      <c r="B20" s="16"/>
      <c r="C20" s="16"/>
      <c r="D20" s="16"/>
      <c r="E20" s="16"/>
      <c r="F20" s="16"/>
      <c r="G20" s="16"/>
      <c r="H20" s="16"/>
    </row>
    <row r="21" spans="1:8" x14ac:dyDescent="0.25">
      <c r="A21" s="16" t="s">
        <v>360</v>
      </c>
      <c r="B21" s="16"/>
      <c r="C21" s="16"/>
      <c r="D21" s="16"/>
      <c r="E21" s="16"/>
      <c r="F21" s="16"/>
      <c r="G21" s="16"/>
      <c r="H21" s="16"/>
    </row>
    <row r="22" spans="1:8" x14ac:dyDescent="0.25">
      <c r="A22" s="16" t="s">
        <v>361</v>
      </c>
      <c r="B22" s="16"/>
      <c r="C22" s="16"/>
      <c r="D22" s="16"/>
      <c r="E22" s="16"/>
      <c r="F22" s="16"/>
      <c r="G22" s="16"/>
      <c r="H22" s="16"/>
    </row>
    <row r="23" spans="1:8" x14ac:dyDescent="0.25">
      <c r="A23" s="16" t="s">
        <v>362</v>
      </c>
      <c r="B23" s="16"/>
      <c r="C23" s="16"/>
      <c r="D23" s="16"/>
      <c r="E23" s="16"/>
      <c r="F23" s="16"/>
      <c r="G23" s="16"/>
      <c r="H23" s="16"/>
    </row>
    <row r="24" spans="1:8" ht="18.75" x14ac:dyDescent="0.25">
      <c r="A24" s="20" t="s">
        <v>363</v>
      </c>
      <c r="B24" s="20"/>
      <c r="C24" s="20"/>
      <c r="D24" s="20"/>
      <c r="E24" s="20"/>
      <c r="F24" s="20"/>
      <c r="G24" s="20"/>
      <c r="H24" s="20"/>
    </row>
    <row r="25" spans="1:8" x14ac:dyDescent="0.25">
      <c r="A25" s="16" t="s">
        <v>364</v>
      </c>
      <c r="B25" s="16"/>
      <c r="C25" s="16"/>
      <c r="D25" s="16"/>
      <c r="E25" s="16"/>
      <c r="F25" s="16"/>
      <c r="G25" s="16"/>
      <c r="H25" s="16"/>
    </row>
    <row r="26" spans="1:8" x14ac:dyDescent="0.25">
      <c r="A26" s="16" t="s">
        <v>365</v>
      </c>
      <c r="B26" s="16"/>
      <c r="C26" s="16"/>
      <c r="D26" s="16"/>
      <c r="E26" s="16"/>
      <c r="F26" s="16"/>
      <c r="G26" s="16"/>
      <c r="H26" s="16"/>
    </row>
    <row r="27" spans="1:8" x14ac:dyDescent="0.25">
      <c r="A27" s="16" t="s">
        <v>366</v>
      </c>
      <c r="B27" s="16"/>
      <c r="C27" s="16"/>
      <c r="D27" s="16"/>
      <c r="E27" s="16"/>
      <c r="F27" s="16"/>
      <c r="G27" s="16"/>
      <c r="H27" s="16"/>
    </row>
    <row r="28" spans="1:8" x14ac:dyDescent="0.25">
      <c r="A28" s="16" t="s">
        <v>367</v>
      </c>
      <c r="B28" s="16"/>
      <c r="C28" s="16"/>
      <c r="D28" s="16"/>
      <c r="E28" s="16"/>
      <c r="F28" s="16"/>
      <c r="G28" s="16"/>
      <c r="H28" s="16"/>
    </row>
    <row r="29" spans="1:8" x14ac:dyDescent="0.25">
      <c r="A29" s="16" t="s">
        <v>368</v>
      </c>
      <c r="B29" s="16"/>
      <c r="C29" s="16"/>
      <c r="D29" s="16"/>
      <c r="E29" s="16"/>
      <c r="F29" s="16"/>
      <c r="G29" s="16"/>
      <c r="H29" s="16"/>
    </row>
    <row r="30" spans="1:8" x14ac:dyDescent="0.25">
      <c r="A30" s="16" t="s">
        <v>369</v>
      </c>
      <c r="B30" s="16"/>
      <c r="C30" s="16"/>
      <c r="D30" s="16"/>
      <c r="E30" s="16"/>
      <c r="F30" s="16"/>
      <c r="G30" s="16"/>
      <c r="H30" s="16"/>
    </row>
    <row r="31" spans="1:8" x14ac:dyDescent="0.25">
      <c r="A31" s="16" t="s">
        <v>370</v>
      </c>
      <c r="B31" s="16"/>
      <c r="C31" s="16"/>
      <c r="D31" s="16"/>
      <c r="E31" s="16"/>
      <c r="F31" s="16"/>
      <c r="G31" s="16"/>
      <c r="H31" s="16"/>
    </row>
    <row r="32" spans="1:8" ht="18.75" x14ac:dyDescent="0.25">
      <c r="A32" s="20" t="s">
        <v>371</v>
      </c>
      <c r="B32" s="20"/>
      <c r="C32" s="20"/>
      <c r="D32" s="20"/>
      <c r="E32" s="20"/>
      <c r="F32" s="20"/>
      <c r="G32" s="20"/>
      <c r="H32" s="20"/>
    </row>
    <row r="33" spans="1:8" x14ac:dyDescent="0.25">
      <c r="A33" s="16" t="s">
        <v>372</v>
      </c>
      <c r="B33" s="16"/>
      <c r="C33" s="16"/>
      <c r="D33" s="16"/>
      <c r="E33" s="16"/>
      <c r="F33" s="16"/>
      <c r="G33" s="16"/>
      <c r="H33" s="16"/>
    </row>
    <row r="34" spans="1:8" x14ac:dyDescent="0.25">
      <c r="A34" s="16" t="s">
        <v>373</v>
      </c>
      <c r="B34" s="16"/>
      <c r="C34" s="16"/>
      <c r="D34" s="16"/>
      <c r="E34" s="16"/>
      <c r="F34" s="16"/>
      <c r="G34" s="16"/>
      <c r="H34" s="16"/>
    </row>
    <row r="35" spans="1:8" x14ac:dyDescent="0.25">
      <c r="A35" s="16" t="s">
        <v>374</v>
      </c>
      <c r="B35" s="16"/>
      <c r="C35" s="16"/>
      <c r="D35" s="16"/>
      <c r="E35" s="16"/>
      <c r="F35" s="16"/>
      <c r="G35" s="16"/>
      <c r="H35" s="16"/>
    </row>
    <row r="36" spans="1:8" x14ac:dyDescent="0.25">
      <c r="A36" s="16" t="s">
        <v>375</v>
      </c>
      <c r="B36" s="16"/>
      <c r="C36" s="16"/>
      <c r="D36" s="16"/>
      <c r="E36" s="16"/>
      <c r="F36" s="16"/>
      <c r="G36" s="16"/>
      <c r="H36" s="16"/>
    </row>
    <row r="37" spans="1:8" x14ac:dyDescent="0.25">
      <c r="A37" s="16" t="s">
        <v>376</v>
      </c>
      <c r="B37" s="16"/>
      <c r="C37" s="16"/>
      <c r="D37" s="16"/>
      <c r="E37" s="16"/>
      <c r="F37" s="16"/>
      <c r="G37" s="16"/>
      <c r="H37" s="16"/>
    </row>
    <row r="38" spans="1:8" x14ac:dyDescent="0.25">
      <c r="A38" s="23" t="s">
        <v>377</v>
      </c>
      <c r="B38" s="23"/>
      <c r="C38" s="23"/>
      <c r="D38" s="23"/>
      <c r="E38" s="23"/>
      <c r="F38" s="23"/>
      <c r="G38" s="23"/>
      <c r="H38" s="23"/>
    </row>
    <row r="39" spans="1:8" ht="18.75" x14ac:dyDescent="0.25">
      <c r="A39" s="20" t="s">
        <v>378</v>
      </c>
      <c r="B39" s="20"/>
      <c r="C39" s="20"/>
      <c r="D39" s="20"/>
      <c r="E39" s="20"/>
      <c r="F39" s="20"/>
      <c r="G39" s="20"/>
      <c r="H39" s="20"/>
    </row>
    <row r="40" spans="1:8" ht="35.25" customHeight="1" x14ac:dyDescent="0.25">
      <c r="A40" s="21" t="s">
        <v>379</v>
      </c>
      <c r="B40" s="21"/>
      <c r="C40" s="21"/>
      <c r="D40" s="21"/>
      <c r="E40" s="21"/>
      <c r="F40" s="21"/>
      <c r="G40" s="21"/>
      <c r="H40" s="21"/>
    </row>
    <row r="43" spans="1:8" x14ac:dyDescent="0.25">
      <c r="A43" s="18" t="s">
        <v>380</v>
      </c>
    </row>
    <row r="44" spans="1:8" x14ac:dyDescent="0.25">
      <c r="A44" s="18" t="s">
        <v>381</v>
      </c>
    </row>
    <row r="45" spans="1:8" x14ac:dyDescent="0.25">
      <c r="A45" s="18" t="s">
        <v>382</v>
      </c>
    </row>
  </sheetData>
  <mergeCells count="38">
    <mergeCell ref="A37:H37"/>
    <mergeCell ref="A36:H36"/>
    <mergeCell ref="A35:H35"/>
    <mergeCell ref="A34:H34"/>
    <mergeCell ref="A33:H33"/>
    <mergeCell ref="A40:H40"/>
    <mergeCell ref="A39:H39"/>
    <mergeCell ref="A17:H17"/>
    <mergeCell ref="A16:H16"/>
    <mergeCell ref="A31:H31"/>
    <mergeCell ref="A30:H30"/>
    <mergeCell ref="A29:H29"/>
    <mergeCell ref="A28:H28"/>
    <mergeCell ref="A27:H27"/>
    <mergeCell ref="A26:H26"/>
    <mergeCell ref="A25:H25"/>
    <mergeCell ref="A23:H23"/>
    <mergeCell ref="A22:H22"/>
    <mergeCell ref="A21:H21"/>
    <mergeCell ref="A20:H20"/>
    <mergeCell ref="A19:H19"/>
    <mergeCell ref="A18:H18"/>
    <mergeCell ref="A9:H9"/>
    <mergeCell ref="A14:H14"/>
    <mergeCell ref="A12:H12"/>
    <mergeCell ref="A11:H11"/>
    <mergeCell ref="A10:H10"/>
    <mergeCell ref="A13:H13"/>
    <mergeCell ref="A7:H7"/>
    <mergeCell ref="A1:H2"/>
    <mergeCell ref="A3:H3"/>
    <mergeCell ref="A38:H38"/>
    <mergeCell ref="A32:H32"/>
    <mergeCell ref="A24:H24"/>
    <mergeCell ref="A15:H15"/>
    <mergeCell ref="A8:H8"/>
    <mergeCell ref="A6:H6"/>
    <mergeCell ref="A4:H5"/>
  </mergeCells>
  <hyperlinks>
    <hyperlink ref="A43" location="Dashboard!A1" display="Dashboard" xr:uid="{64927274-7D83-40C6-BCB3-5832F45D1A89}"/>
    <hyperlink ref="A44" location="HospitalData!A1" display="Data Quality" xr:uid="{A469C28E-9291-45B6-8466-54A4DA79FDEB}"/>
    <hyperlink ref="A45" location="Analysis!A1" display="Analysis" xr:uid="{61B226A1-6384-4D1D-9E87-C6418EBF33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3"/>
  <sheetViews>
    <sheetView workbookViewId="0"/>
  </sheetViews>
  <sheetFormatPr defaultRowHeight="15.75" x14ac:dyDescent="0.25"/>
  <cols>
    <col min="1" max="1" width="12.875" customWidth="1"/>
    <col min="2" max="2" width="23.875" customWidth="1"/>
    <col min="3" max="3" width="15.875" style="1" customWidth="1"/>
    <col min="4" max="4" width="9" customWidth="1"/>
    <col min="5" max="5" width="17.875" customWidth="1"/>
    <col min="6" max="6" width="27.875" customWidth="1"/>
    <col min="7" max="7" width="15.875" customWidth="1"/>
    <col min="8" max="9" width="16.875" style="1" customWidth="1"/>
    <col min="10" max="10" width="15.875" customWidth="1"/>
    <col min="11" max="12" width="14.875" customWidth="1"/>
    <col min="17" max="17" width="12" bestFit="1" customWidth="1"/>
    <col min="18" max="19" width="12" customWidth="1"/>
    <col min="20" max="20" width="14.125" bestFit="1" customWidth="1"/>
    <col min="21" max="21" width="22.75" bestFit="1" customWidth="1"/>
    <col min="22" max="22" width="20.375" bestFit="1" customWidth="1"/>
  </cols>
  <sheetData>
    <row r="1" spans="1:22" x14ac:dyDescent="0.25">
      <c r="A1" t="s">
        <v>0</v>
      </c>
      <c r="B1" t="s">
        <v>1</v>
      </c>
      <c r="C1" s="1" t="s">
        <v>2</v>
      </c>
      <c r="D1" t="s">
        <v>3</v>
      </c>
      <c r="E1" t="s">
        <v>4</v>
      </c>
      <c r="F1" t="s">
        <v>5</v>
      </c>
      <c r="G1" t="s">
        <v>6</v>
      </c>
      <c r="H1" s="1" t="s">
        <v>7</v>
      </c>
      <c r="I1" s="1" t="s">
        <v>8</v>
      </c>
      <c r="J1" t="s">
        <v>9</v>
      </c>
      <c r="K1" t="s">
        <v>10</v>
      </c>
      <c r="L1" t="s">
        <v>290</v>
      </c>
      <c r="M1" t="s">
        <v>277</v>
      </c>
      <c r="N1" t="s">
        <v>278</v>
      </c>
      <c r="O1" t="s">
        <v>279</v>
      </c>
      <c r="P1" t="s">
        <v>280</v>
      </c>
      <c r="Q1" t="s">
        <v>281</v>
      </c>
      <c r="R1" t="s">
        <v>282</v>
      </c>
      <c r="S1" t="s">
        <v>283</v>
      </c>
      <c r="T1" t="s">
        <v>268</v>
      </c>
      <c r="V1" t="s">
        <v>269</v>
      </c>
    </row>
    <row r="2" spans="1:22" x14ac:dyDescent="0.25">
      <c r="A2" t="s">
        <v>11</v>
      </c>
      <c r="B2" t="s">
        <v>12</v>
      </c>
      <c r="C2" s="1">
        <v>38780</v>
      </c>
      <c r="D2" t="s">
        <v>13</v>
      </c>
      <c r="E2" t="s">
        <v>14</v>
      </c>
      <c r="F2" t="s">
        <v>15</v>
      </c>
      <c r="G2" t="s">
        <v>16</v>
      </c>
      <c r="H2" s="1">
        <v>45817</v>
      </c>
      <c r="I2" s="1">
        <v>45827</v>
      </c>
      <c r="J2">
        <v>1862.52</v>
      </c>
      <c r="K2" t="s">
        <v>17</v>
      </c>
      <c r="L2" s="1" t="b">
        <f t="shared" ref="L2:L33" si="0">AND(ISNUMBER(C:C),ISNUMBER(H:H),ISNUMBER(I:I))</f>
        <v>1</v>
      </c>
      <c r="M2">
        <f>HospitalData[[#This Row],[Discharge Date]]-HospitalData[[#This Row],[Admission Date]]</f>
        <v>10</v>
      </c>
      <c r="N2" t="str">
        <f>IF(HospitalData[[#This Row],[Length of Stay]]&lt;0,"INVALID","OK")</f>
        <v>OK</v>
      </c>
      <c r="O2">
        <f>DATEDIF(HospitalData[[#This Row],[Date of Birth]],HospitalData[[#This Row],[Admission Date]],"y")</f>
        <v>19</v>
      </c>
      <c r="P2" t="str">
        <f>IF(OR(HospitalData[[#This Row],[Patient Age]]&lt;0,HospitalData[[#This Row],[Patient Age]]&gt;120),"INVALID","OK")</f>
        <v>OK</v>
      </c>
      <c r="Q2" t="str">
        <f>IF(HospitalData[[#This Row],[Patient Age]]&lt;1,"Infant",IF(HospitalData[[#This Row],[Patient Age]]&lt;13,"Child",IF(HospitalData[[#This Row],[Patient Age]]&lt;18,"Adolescent",IF(HospitalData[[#This Row],[Patient Age]]&lt;60,"Adult","Senior"))))</f>
        <v>Adult</v>
      </c>
      <c r="R2" t="str">
        <f>IF(HospitalData[[#This Row],[Length of Stay]]=0,"Same Day",IF(HospitalData[[#This Row],[Length of Stay]]&lt;=3,"1-3 Days",IF(HospitalData[[#This Row],[Length of Stay]]&lt;=7,"4-7 Days","8+ Days")))</f>
        <v>8+ Days</v>
      </c>
      <c r="S2" t="str">
        <f>IF(HospitalData[[#This Row],[Total Charges]]&lt;0,"INVALID","OK")</f>
        <v>OK</v>
      </c>
      <c r="T2">
        <f>COUNTIF($A:$A,A2)</f>
        <v>1</v>
      </c>
      <c r="U2">
        <f>COUNTBLANK(HospitalData[Patient ID])</f>
        <v>0</v>
      </c>
      <c r="V2" t="s">
        <v>270</v>
      </c>
    </row>
    <row r="3" spans="1:22" x14ac:dyDescent="0.25">
      <c r="A3" t="s">
        <v>18</v>
      </c>
      <c r="B3" t="s">
        <v>19</v>
      </c>
      <c r="C3" s="1">
        <v>44961</v>
      </c>
      <c r="D3" t="s">
        <v>13</v>
      </c>
      <c r="E3" t="s">
        <v>20</v>
      </c>
      <c r="F3" t="s">
        <v>21</v>
      </c>
      <c r="G3" t="s">
        <v>22</v>
      </c>
      <c r="H3" s="1">
        <v>46106</v>
      </c>
      <c r="I3" s="1">
        <v>46117</v>
      </c>
      <c r="J3">
        <v>3230.79</v>
      </c>
      <c r="K3" t="s">
        <v>23</v>
      </c>
      <c r="L3" s="1" t="b">
        <f t="shared" si="0"/>
        <v>1</v>
      </c>
      <c r="M3">
        <f>HospitalData[[#This Row],[Discharge Date]]-HospitalData[[#This Row],[Admission Date]]</f>
        <v>11</v>
      </c>
      <c r="N3" t="str">
        <f>IF(HospitalData[[#This Row],[Length of Stay]]&lt;0,"INVALID","OK")</f>
        <v>OK</v>
      </c>
      <c r="O3">
        <f>DATEDIF(HospitalData[[#This Row],[Date of Birth]],HospitalData[[#This Row],[Admission Date]],"y")</f>
        <v>3</v>
      </c>
      <c r="P3" t="str">
        <f>IF(OR(HospitalData[[#This Row],[Patient Age]]&lt;0,HospitalData[[#This Row],[Patient Age]]&gt;120),"INVALID","OK")</f>
        <v>OK</v>
      </c>
      <c r="Q3" t="str">
        <f>IF(HospitalData[[#This Row],[Patient Age]]&lt;1,"Infant",IF(HospitalData[[#This Row],[Patient Age]]&lt;13,"Child",IF(HospitalData[[#This Row],[Patient Age]]&lt;18,"Adolescent",IF(HospitalData[[#This Row],[Patient Age]]&lt;60,"Adult","Senior"))))</f>
        <v>Child</v>
      </c>
      <c r="R3" t="str">
        <f>IF(HospitalData[[#This Row],[Length of Stay]]=0,"Same Day",IF(HospitalData[[#This Row],[Length of Stay]]&lt;=3,"1-3 Days",IF(HospitalData[[#This Row],[Length of Stay]]&lt;=7,"4-7 Days","8+ Days")))</f>
        <v>8+ Days</v>
      </c>
      <c r="S3" t="str">
        <f>IF(HospitalData[[#This Row],[Total Charges]]&lt;0,"INVALID","OK")</f>
        <v>OK</v>
      </c>
      <c r="T3">
        <f t="shared" ref="T3:T66" si="1">COUNTIF($A:$A,A3)</f>
        <v>1</v>
      </c>
      <c r="U3">
        <f>COUNTBLANK(HospitalData[Gender])</f>
        <v>0</v>
      </c>
      <c r="V3" t="s">
        <v>271</v>
      </c>
    </row>
    <row r="4" spans="1:22" x14ac:dyDescent="0.25">
      <c r="A4" t="s">
        <v>24</v>
      </c>
      <c r="B4" t="s">
        <v>25</v>
      </c>
      <c r="C4" s="1">
        <v>26885</v>
      </c>
      <c r="D4" t="s">
        <v>26</v>
      </c>
      <c r="E4" t="s">
        <v>27</v>
      </c>
      <c r="F4" t="s">
        <v>28</v>
      </c>
      <c r="G4" t="s">
        <v>29</v>
      </c>
      <c r="H4" s="1">
        <v>45897</v>
      </c>
      <c r="I4" s="1">
        <v>45910</v>
      </c>
      <c r="J4">
        <v>47523.53</v>
      </c>
      <c r="K4" t="s">
        <v>23</v>
      </c>
      <c r="L4" s="1" t="b">
        <f t="shared" si="0"/>
        <v>1</v>
      </c>
      <c r="M4">
        <f>HospitalData[[#This Row],[Discharge Date]]-HospitalData[[#This Row],[Admission Date]]</f>
        <v>13</v>
      </c>
      <c r="N4" t="str">
        <f>IF(HospitalData[[#This Row],[Length of Stay]]&lt;0,"INVALID","OK")</f>
        <v>OK</v>
      </c>
      <c r="O4">
        <f>DATEDIF(HospitalData[[#This Row],[Date of Birth]],HospitalData[[#This Row],[Admission Date]],"y")</f>
        <v>52</v>
      </c>
      <c r="P4" t="str">
        <f>IF(OR(HospitalData[[#This Row],[Patient Age]]&lt;0,HospitalData[[#This Row],[Patient Age]]&gt;120),"INVALID","OK")</f>
        <v>OK</v>
      </c>
      <c r="Q4" t="str">
        <f>IF(HospitalData[[#This Row],[Patient Age]]&lt;1,"Infant",IF(HospitalData[[#This Row],[Patient Age]]&lt;13,"Child",IF(HospitalData[[#This Row],[Patient Age]]&lt;18,"Adolescent",IF(HospitalData[[#This Row],[Patient Age]]&lt;60,"Adult","Senior"))))</f>
        <v>Adult</v>
      </c>
      <c r="R4" t="str">
        <f>IF(HospitalData[[#This Row],[Length of Stay]]=0,"Same Day",IF(HospitalData[[#This Row],[Length of Stay]]&lt;=3,"1-3 Days",IF(HospitalData[[#This Row],[Length of Stay]]&lt;=7,"4-7 Days","8+ Days")))</f>
        <v>8+ Days</v>
      </c>
      <c r="S4" t="str">
        <f>IF(HospitalData[[#This Row],[Total Charges]]&lt;0,"INVALID","OK")</f>
        <v>OK</v>
      </c>
      <c r="T4">
        <f t="shared" si="1"/>
        <v>1</v>
      </c>
      <c r="U4">
        <f>COUNTBLANK(HospitalData[Diagnosis])</f>
        <v>0</v>
      </c>
      <c r="V4" t="s">
        <v>272</v>
      </c>
    </row>
    <row r="5" spans="1:22" x14ac:dyDescent="0.25">
      <c r="A5" t="s">
        <v>30</v>
      </c>
      <c r="B5" t="s">
        <v>31</v>
      </c>
      <c r="C5" s="1">
        <v>18146</v>
      </c>
      <c r="D5" t="s">
        <v>26</v>
      </c>
      <c r="E5" t="s">
        <v>32</v>
      </c>
      <c r="F5" t="s">
        <v>33</v>
      </c>
      <c r="G5" t="s">
        <v>34</v>
      </c>
      <c r="H5" s="1">
        <v>45808</v>
      </c>
      <c r="I5" s="1">
        <v>45822</v>
      </c>
      <c r="J5">
        <v>3835.59</v>
      </c>
      <c r="K5" t="s">
        <v>17</v>
      </c>
      <c r="L5" s="1" t="b">
        <f t="shared" si="0"/>
        <v>1</v>
      </c>
      <c r="M5">
        <f>HospitalData[[#This Row],[Discharge Date]]-HospitalData[[#This Row],[Admission Date]]</f>
        <v>14</v>
      </c>
      <c r="N5" t="str">
        <f>IF(HospitalData[[#This Row],[Length of Stay]]&lt;0,"INVALID","OK")</f>
        <v>OK</v>
      </c>
      <c r="O5">
        <f>DATEDIF(HospitalData[[#This Row],[Date of Birth]],HospitalData[[#This Row],[Admission Date]],"y")</f>
        <v>75</v>
      </c>
      <c r="P5" t="str">
        <f>IF(OR(HospitalData[[#This Row],[Patient Age]]&lt;0,HospitalData[[#This Row],[Patient Age]]&gt;120),"INVALID","OK")</f>
        <v>OK</v>
      </c>
      <c r="Q5" t="str">
        <f>IF(HospitalData[[#This Row],[Patient Age]]&lt;1,"Infant",IF(HospitalData[[#This Row],[Patient Age]]&lt;13,"Child",IF(HospitalData[[#This Row],[Patient Age]]&lt;18,"Adolescent",IF(HospitalData[[#This Row],[Patient Age]]&lt;60,"Adult","Senior"))))</f>
        <v>Senior</v>
      </c>
      <c r="R5" t="str">
        <f>IF(HospitalData[[#This Row],[Length of Stay]]=0,"Same Day",IF(HospitalData[[#This Row],[Length of Stay]]&lt;=3,"1-3 Days",IF(HospitalData[[#This Row],[Length of Stay]]&lt;=7,"4-7 Days","8+ Days")))</f>
        <v>8+ Days</v>
      </c>
      <c r="S5" t="str">
        <f>IF(HospitalData[[#This Row],[Total Charges]]&lt;0,"INVALID","OK")</f>
        <v>OK</v>
      </c>
      <c r="T5">
        <f t="shared" si="1"/>
        <v>1</v>
      </c>
      <c r="U5">
        <f>COUNTBLANK(HospitalData[Admission Date])</f>
        <v>0</v>
      </c>
      <c r="V5" t="s">
        <v>273</v>
      </c>
    </row>
    <row r="6" spans="1:22" x14ac:dyDescent="0.25">
      <c r="A6" t="s">
        <v>35</v>
      </c>
      <c r="B6" t="s">
        <v>36</v>
      </c>
      <c r="C6" s="1">
        <v>18020</v>
      </c>
      <c r="D6" t="s">
        <v>26</v>
      </c>
      <c r="E6" t="s">
        <v>37</v>
      </c>
      <c r="F6" t="s">
        <v>38</v>
      </c>
      <c r="G6" t="s">
        <v>34</v>
      </c>
      <c r="H6" s="1">
        <v>45845</v>
      </c>
      <c r="I6" s="1">
        <v>45855</v>
      </c>
      <c r="J6">
        <v>1034.2</v>
      </c>
      <c r="K6" t="s">
        <v>39</v>
      </c>
      <c r="L6" s="1" t="b">
        <f t="shared" si="0"/>
        <v>1</v>
      </c>
      <c r="M6">
        <f>HospitalData[[#This Row],[Discharge Date]]-HospitalData[[#This Row],[Admission Date]]</f>
        <v>10</v>
      </c>
      <c r="N6" t="str">
        <f>IF(HospitalData[[#This Row],[Length of Stay]]&lt;0,"INVALID","OK")</f>
        <v>OK</v>
      </c>
      <c r="O6">
        <f>DATEDIF(HospitalData[[#This Row],[Date of Birth]],HospitalData[[#This Row],[Admission Date]],"y")</f>
        <v>76</v>
      </c>
      <c r="P6" t="str">
        <f>IF(OR(HospitalData[[#This Row],[Patient Age]]&lt;0,HospitalData[[#This Row],[Patient Age]]&gt;120),"INVALID","OK")</f>
        <v>OK</v>
      </c>
      <c r="Q6" t="str">
        <f>IF(HospitalData[[#This Row],[Patient Age]]&lt;1,"Infant",IF(HospitalData[[#This Row],[Patient Age]]&lt;13,"Child",IF(HospitalData[[#This Row],[Patient Age]]&lt;18,"Adolescent",IF(HospitalData[[#This Row],[Patient Age]]&lt;60,"Adult","Senior"))))</f>
        <v>Senior</v>
      </c>
      <c r="R6" t="str">
        <f>IF(HospitalData[[#This Row],[Length of Stay]]=0,"Same Day",IF(HospitalData[[#This Row],[Length of Stay]]&lt;=3,"1-3 Days",IF(HospitalData[[#This Row],[Length of Stay]]&lt;=7,"4-7 Days","8+ Days")))</f>
        <v>8+ Days</v>
      </c>
      <c r="S6" t="str">
        <f>IF(HospitalData[[#This Row],[Total Charges]]&lt;0,"INVALID","OK")</f>
        <v>OK</v>
      </c>
      <c r="T6">
        <f t="shared" si="1"/>
        <v>1</v>
      </c>
      <c r="U6">
        <f>COUNTBLANK(HospitalData[Discharge Date])</f>
        <v>0</v>
      </c>
      <c r="V6" t="s">
        <v>274</v>
      </c>
    </row>
    <row r="7" spans="1:22" x14ac:dyDescent="0.25">
      <c r="A7" t="s">
        <v>40</v>
      </c>
      <c r="B7" t="s">
        <v>41</v>
      </c>
      <c r="C7" s="1">
        <v>26341</v>
      </c>
      <c r="D7" t="s">
        <v>26</v>
      </c>
      <c r="E7" t="s">
        <v>42</v>
      </c>
      <c r="F7" t="s">
        <v>43</v>
      </c>
      <c r="G7" t="s">
        <v>44</v>
      </c>
      <c r="H7" s="1">
        <v>45572</v>
      </c>
      <c r="I7" s="1">
        <v>45578</v>
      </c>
      <c r="J7">
        <v>5659.24</v>
      </c>
      <c r="K7" t="s">
        <v>45</v>
      </c>
      <c r="L7" s="1" t="b">
        <f t="shared" si="0"/>
        <v>1</v>
      </c>
      <c r="M7">
        <f>HospitalData[[#This Row],[Discharge Date]]-HospitalData[[#This Row],[Admission Date]]</f>
        <v>6</v>
      </c>
      <c r="N7" t="str">
        <f>IF(HospitalData[[#This Row],[Length of Stay]]&lt;0,"INVALID","OK")</f>
        <v>OK</v>
      </c>
      <c r="O7">
        <f>DATEDIF(HospitalData[[#This Row],[Date of Birth]],HospitalData[[#This Row],[Admission Date]],"y")</f>
        <v>52</v>
      </c>
      <c r="P7" t="str">
        <f>IF(OR(HospitalData[[#This Row],[Patient Age]]&lt;0,HospitalData[[#This Row],[Patient Age]]&gt;120),"INVALID","OK")</f>
        <v>OK</v>
      </c>
      <c r="Q7" t="str">
        <f>IF(HospitalData[[#This Row],[Patient Age]]&lt;1,"Infant",IF(HospitalData[[#This Row],[Patient Age]]&lt;13,"Child",IF(HospitalData[[#This Row],[Patient Age]]&lt;18,"Adolescent",IF(HospitalData[[#This Row],[Patient Age]]&lt;60,"Adult","Senior"))))</f>
        <v>Adult</v>
      </c>
      <c r="R7" t="str">
        <f>IF(HospitalData[[#This Row],[Length of Stay]]=0,"Same Day",IF(HospitalData[[#This Row],[Length of Stay]]&lt;=3,"1-3 Days",IF(HospitalData[[#This Row],[Length of Stay]]&lt;=7,"4-7 Days","8+ Days")))</f>
        <v>4-7 Days</v>
      </c>
      <c r="S7" t="str">
        <f>IF(HospitalData[[#This Row],[Total Charges]]&lt;0,"INVALID","OK")</f>
        <v>OK</v>
      </c>
      <c r="T7">
        <f t="shared" si="1"/>
        <v>1</v>
      </c>
      <c r="U7">
        <f>COUNTBLANK(HospitalData[Total Charges])</f>
        <v>0</v>
      </c>
      <c r="V7" t="s">
        <v>275</v>
      </c>
    </row>
    <row r="8" spans="1:22" x14ac:dyDescent="0.25">
      <c r="A8" t="s">
        <v>46</v>
      </c>
      <c r="B8" t="s">
        <v>47</v>
      </c>
      <c r="C8" s="1">
        <v>17172</v>
      </c>
      <c r="D8" t="s">
        <v>13</v>
      </c>
      <c r="E8" t="s">
        <v>48</v>
      </c>
      <c r="F8" t="s">
        <v>49</v>
      </c>
      <c r="G8" t="s">
        <v>34</v>
      </c>
      <c r="H8" s="1">
        <v>46211</v>
      </c>
      <c r="I8" s="1">
        <v>46224</v>
      </c>
      <c r="J8">
        <v>1628.29</v>
      </c>
      <c r="K8" t="s">
        <v>23</v>
      </c>
      <c r="L8" s="1" t="b">
        <f t="shared" si="0"/>
        <v>1</v>
      </c>
      <c r="M8">
        <f>HospitalData[[#This Row],[Discharge Date]]-HospitalData[[#This Row],[Admission Date]]</f>
        <v>13</v>
      </c>
      <c r="N8" t="str">
        <f>IF(HospitalData[[#This Row],[Length of Stay]]&lt;0,"INVALID","OK")</f>
        <v>OK</v>
      </c>
      <c r="O8">
        <f>DATEDIF(HospitalData[[#This Row],[Date of Birth]],HospitalData[[#This Row],[Admission Date]],"y")</f>
        <v>79</v>
      </c>
      <c r="P8" t="str">
        <f>IF(OR(HospitalData[[#This Row],[Patient Age]]&lt;0,HospitalData[[#This Row],[Patient Age]]&gt;120),"INVALID","OK")</f>
        <v>OK</v>
      </c>
      <c r="Q8" t="str">
        <f>IF(HospitalData[[#This Row],[Patient Age]]&lt;1,"Infant",IF(HospitalData[[#This Row],[Patient Age]]&lt;13,"Child",IF(HospitalData[[#This Row],[Patient Age]]&lt;18,"Adolescent",IF(HospitalData[[#This Row],[Patient Age]]&lt;60,"Adult","Senior"))))</f>
        <v>Senior</v>
      </c>
      <c r="R8" t="str">
        <f>IF(HospitalData[[#This Row],[Length of Stay]]=0,"Same Day",IF(HospitalData[[#This Row],[Length of Stay]]&lt;=3,"1-3 Days",IF(HospitalData[[#This Row],[Length of Stay]]&lt;=7,"4-7 Days","8+ Days")))</f>
        <v>8+ Days</v>
      </c>
      <c r="S8" t="str">
        <f>IF(HospitalData[[#This Row],[Total Charges]]&lt;0,"INVALID","OK")</f>
        <v>OK</v>
      </c>
      <c r="T8">
        <f t="shared" si="1"/>
        <v>1</v>
      </c>
      <c r="U8" t="b">
        <f>ISNUMBER(C:C)</f>
        <v>1</v>
      </c>
      <c r="V8" t="s">
        <v>276</v>
      </c>
    </row>
    <row r="9" spans="1:22" x14ac:dyDescent="0.25">
      <c r="A9" t="s">
        <v>50</v>
      </c>
      <c r="B9" t="s">
        <v>51</v>
      </c>
      <c r="C9" s="1">
        <v>29350</v>
      </c>
      <c r="D9" t="s">
        <v>13</v>
      </c>
      <c r="E9" t="s">
        <v>42</v>
      </c>
      <c r="F9" t="s">
        <v>43</v>
      </c>
      <c r="G9" t="s">
        <v>52</v>
      </c>
      <c r="H9" s="1">
        <v>45962</v>
      </c>
      <c r="I9" s="1">
        <v>45972</v>
      </c>
      <c r="J9">
        <v>11969.25</v>
      </c>
      <c r="K9" t="s">
        <v>53</v>
      </c>
      <c r="L9" s="1" t="b">
        <f t="shared" si="0"/>
        <v>1</v>
      </c>
      <c r="M9">
        <f>HospitalData[[#This Row],[Discharge Date]]-HospitalData[[#This Row],[Admission Date]]</f>
        <v>10</v>
      </c>
      <c r="N9" t="str">
        <f>IF(HospitalData[[#This Row],[Length of Stay]]&lt;0,"INVALID","OK")</f>
        <v>OK</v>
      </c>
      <c r="O9">
        <f>DATEDIF(HospitalData[[#This Row],[Date of Birth]],HospitalData[[#This Row],[Admission Date]],"y")</f>
        <v>45</v>
      </c>
      <c r="P9" t="str">
        <f>IF(OR(HospitalData[[#This Row],[Patient Age]]&lt;0,HospitalData[[#This Row],[Patient Age]]&gt;120),"INVALID","OK")</f>
        <v>OK</v>
      </c>
      <c r="Q9" t="str">
        <f>IF(HospitalData[[#This Row],[Patient Age]]&lt;1,"Infant",IF(HospitalData[[#This Row],[Patient Age]]&lt;13,"Child",IF(HospitalData[[#This Row],[Patient Age]]&lt;18,"Adolescent",IF(HospitalData[[#This Row],[Patient Age]]&lt;60,"Adult","Senior"))))</f>
        <v>Adult</v>
      </c>
      <c r="R9" t="str">
        <f>IF(HospitalData[[#This Row],[Length of Stay]]=0,"Same Day",IF(HospitalData[[#This Row],[Length of Stay]]&lt;=3,"1-3 Days",IF(HospitalData[[#This Row],[Length of Stay]]&lt;=7,"4-7 Days","8+ Days")))</f>
        <v>8+ Days</v>
      </c>
      <c r="S9" t="str">
        <f>IF(HospitalData[[#This Row],[Total Charges]]&lt;0,"INVALID","OK")</f>
        <v>OK</v>
      </c>
      <c r="T9">
        <f t="shared" si="1"/>
        <v>1</v>
      </c>
      <c r="U9" t="b">
        <f>ISNUMBER(H:H)</f>
        <v>1</v>
      </c>
      <c r="V9" t="s">
        <v>273</v>
      </c>
    </row>
    <row r="10" spans="1:22" x14ac:dyDescent="0.25">
      <c r="A10" t="s">
        <v>54</v>
      </c>
      <c r="B10" t="s">
        <v>55</v>
      </c>
      <c r="C10" s="1">
        <v>18979</v>
      </c>
      <c r="D10" t="s">
        <v>26</v>
      </c>
      <c r="E10" t="s">
        <v>37</v>
      </c>
      <c r="F10" t="s">
        <v>38</v>
      </c>
      <c r="G10" t="s">
        <v>34</v>
      </c>
      <c r="H10" s="1">
        <v>45641</v>
      </c>
      <c r="I10" s="1">
        <v>45654</v>
      </c>
      <c r="J10">
        <v>801.06</v>
      </c>
      <c r="K10" t="s">
        <v>45</v>
      </c>
      <c r="L10" s="1" t="b">
        <f t="shared" si="0"/>
        <v>1</v>
      </c>
      <c r="M10">
        <f>HospitalData[[#This Row],[Discharge Date]]-HospitalData[[#This Row],[Admission Date]]</f>
        <v>13</v>
      </c>
      <c r="N10" t="str">
        <f>IF(HospitalData[[#This Row],[Length of Stay]]&lt;0,"INVALID","OK")</f>
        <v>OK</v>
      </c>
      <c r="O10">
        <f>DATEDIF(HospitalData[[#This Row],[Date of Birth]],HospitalData[[#This Row],[Admission Date]],"y")</f>
        <v>72</v>
      </c>
      <c r="P10" t="str">
        <f>IF(OR(HospitalData[[#This Row],[Patient Age]]&lt;0,HospitalData[[#This Row],[Patient Age]]&gt;120),"INVALID","OK")</f>
        <v>OK</v>
      </c>
      <c r="Q10" t="str">
        <f>IF(HospitalData[[#This Row],[Patient Age]]&lt;1,"Infant",IF(HospitalData[[#This Row],[Patient Age]]&lt;13,"Child",IF(HospitalData[[#This Row],[Patient Age]]&lt;18,"Adolescent",IF(HospitalData[[#This Row],[Patient Age]]&lt;60,"Adult","Senior"))))</f>
        <v>Senior</v>
      </c>
      <c r="R10" t="str">
        <f>IF(HospitalData[[#This Row],[Length of Stay]]=0,"Same Day",IF(HospitalData[[#This Row],[Length of Stay]]&lt;=3,"1-3 Days",IF(HospitalData[[#This Row],[Length of Stay]]&lt;=7,"4-7 Days","8+ Days")))</f>
        <v>8+ Days</v>
      </c>
      <c r="S10" t="str">
        <f>IF(HospitalData[[#This Row],[Total Charges]]&lt;0,"INVALID","OK")</f>
        <v>OK</v>
      </c>
      <c r="T10">
        <f t="shared" si="1"/>
        <v>1</v>
      </c>
      <c r="U10" t="b">
        <f>ISNUMBER(I:I)</f>
        <v>1</v>
      </c>
      <c r="V10" t="s">
        <v>274</v>
      </c>
    </row>
    <row r="11" spans="1:22" x14ac:dyDescent="0.25">
      <c r="A11" t="s">
        <v>56</v>
      </c>
      <c r="B11" t="s">
        <v>57</v>
      </c>
      <c r="C11" s="1">
        <v>38125</v>
      </c>
      <c r="D11" t="s">
        <v>13</v>
      </c>
      <c r="E11" t="s">
        <v>58</v>
      </c>
      <c r="F11" t="s">
        <v>59</v>
      </c>
      <c r="G11" t="s">
        <v>60</v>
      </c>
      <c r="H11" s="1">
        <v>45818</v>
      </c>
      <c r="I11" s="1">
        <v>45825</v>
      </c>
      <c r="J11">
        <v>562.62</v>
      </c>
      <c r="K11" t="s">
        <v>39</v>
      </c>
      <c r="L11" s="1" t="b">
        <f t="shared" si="0"/>
        <v>1</v>
      </c>
      <c r="M11">
        <f>HospitalData[[#This Row],[Discharge Date]]-HospitalData[[#This Row],[Admission Date]]</f>
        <v>7</v>
      </c>
      <c r="N11" t="str">
        <f>IF(HospitalData[[#This Row],[Length of Stay]]&lt;0,"INVALID","OK")</f>
        <v>OK</v>
      </c>
      <c r="O11">
        <f>DATEDIF(HospitalData[[#This Row],[Date of Birth]],HospitalData[[#This Row],[Admission Date]],"y")</f>
        <v>21</v>
      </c>
      <c r="P11" t="str">
        <f>IF(OR(HospitalData[[#This Row],[Patient Age]]&lt;0,HospitalData[[#This Row],[Patient Age]]&gt;120),"INVALID","OK")</f>
        <v>OK</v>
      </c>
      <c r="Q11" t="str">
        <f>IF(HospitalData[[#This Row],[Patient Age]]&lt;1,"Infant",IF(HospitalData[[#This Row],[Patient Age]]&lt;13,"Child",IF(HospitalData[[#This Row],[Patient Age]]&lt;18,"Adolescent",IF(HospitalData[[#This Row],[Patient Age]]&lt;60,"Adult","Senior"))))</f>
        <v>Adult</v>
      </c>
      <c r="R11" t="str">
        <f>IF(HospitalData[[#This Row],[Length of Stay]]=0,"Same Day",IF(HospitalData[[#This Row],[Length of Stay]]&lt;=3,"1-3 Days",IF(HospitalData[[#This Row],[Length of Stay]]&lt;=7,"4-7 Days","8+ Days")))</f>
        <v>4-7 Days</v>
      </c>
      <c r="S11" t="str">
        <f>IF(HospitalData[[#This Row],[Total Charges]]&lt;0,"INVALID","OK")</f>
        <v>OK</v>
      </c>
      <c r="T11">
        <f t="shared" si="1"/>
        <v>1</v>
      </c>
      <c r="U11" t="b">
        <f>ISNUMBER(J:J)</f>
        <v>1</v>
      </c>
      <c r="V11" t="s">
        <v>275</v>
      </c>
    </row>
    <row r="12" spans="1:22" x14ac:dyDescent="0.25">
      <c r="A12" t="s">
        <v>61</v>
      </c>
      <c r="B12" t="s">
        <v>62</v>
      </c>
      <c r="C12" s="1">
        <v>23886</v>
      </c>
      <c r="D12" t="s">
        <v>13</v>
      </c>
      <c r="E12" t="s">
        <v>20</v>
      </c>
      <c r="F12" t="s">
        <v>21</v>
      </c>
      <c r="G12" t="s">
        <v>60</v>
      </c>
      <c r="H12" s="1">
        <v>45822</v>
      </c>
      <c r="I12" s="1">
        <v>45827</v>
      </c>
      <c r="J12">
        <v>2922.64</v>
      </c>
      <c r="K12" t="s">
        <v>63</v>
      </c>
      <c r="L12" s="1" t="b">
        <f t="shared" si="0"/>
        <v>1</v>
      </c>
      <c r="M12">
        <f>HospitalData[[#This Row],[Discharge Date]]-HospitalData[[#This Row],[Admission Date]]</f>
        <v>5</v>
      </c>
      <c r="N12" t="str">
        <f>IF(HospitalData[[#This Row],[Length of Stay]]&lt;0,"INVALID","OK")</f>
        <v>OK</v>
      </c>
      <c r="O12">
        <f>DATEDIF(HospitalData[[#This Row],[Date of Birth]],HospitalData[[#This Row],[Admission Date]],"y")</f>
        <v>60</v>
      </c>
      <c r="P12" t="str">
        <f>IF(OR(HospitalData[[#This Row],[Patient Age]]&lt;0,HospitalData[[#This Row],[Patient Age]]&gt;120),"INVALID","OK")</f>
        <v>OK</v>
      </c>
      <c r="Q12" t="str">
        <f>IF(HospitalData[[#This Row],[Patient Age]]&lt;1,"Infant",IF(HospitalData[[#This Row],[Patient Age]]&lt;13,"Child",IF(HospitalData[[#This Row],[Patient Age]]&lt;18,"Adolescent",IF(HospitalData[[#This Row],[Patient Age]]&lt;60,"Adult","Senior"))))</f>
        <v>Senior</v>
      </c>
      <c r="R12" t="str">
        <f>IF(HospitalData[[#This Row],[Length of Stay]]=0,"Same Day",IF(HospitalData[[#This Row],[Length of Stay]]&lt;=3,"1-3 Days",IF(HospitalData[[#This Row],[Length of Stay]]&lt;=7,"4-7 Days","8+ Days")))</f>
        <v>4-7 Days</v>
      </c>
      <c r="S12" t="str">
        <f>IF(HospitalData[[#This Row],[Total Charges]]&lt;0,"INVALID","OK")</f>
        <v>OK</v>
      </c>
      <c r="T12">
        <f t="shared" si="1"/>
        <v>1</v>
      </c>
    </row>
    <row r="13" spans="1:22" x14ac:dyDescent="0.25">
      <c r="A13" t="s">
        <v>64</v>
      </c>
      <c r="B13" t="s">
        <v>65</v>
      </c>
      <c r="C13" s="1">
        <v>26100</v>
      </c>
      <c r="D13" t="s">
        <v>13</v>
      </c>
      <c r="E13" t="s">
        <v>66</v>
      </c>
      <c r="F13" t="s">
        <v>67</v>
      </c>
      <c r="G13" t="s">
        <v>68</v>
      </c>
      <c r="H13" s="1">
        <v>46138</v>
      </c>
      <c r="I13" s="1">
        <v>46145</v>
      </c>
      <c r="J13">
        <v>1095.1300000000001</v>
      </c>
      <c r="K13" t="s">
        <v>69</v>
      </c>
      <c r="L13" s="1" t="b">
        <f t="shared" si="0"/>
        <v>1</v>
      </c>
      <c r="M13">
        <f>HospitalData[[#This Row],[Discharge Date]]-HospitalData[[#This Row],[Admission Date]]</f>
        <v>7</v>
      </c>
      <c r="N13" t="str">
        <f>IF(HospitalData[[#This Row],[Length of Stay]]&lt;0,"INVALID","OK")</f>
        <v>OK</v>
      </c>
      <c r="O13">
        <f>DATEDIF(HospitalData[[#This Row],[Date of Birth]],HospitalData[[#This Row],[Admission Date]],"y")</f>
        <v>54</v>
      </c>
      <c r="P13" t="str">
        <f>IF(OR(HospitalData[[#This Row],[Patient Age]]&lt;0,HospitalData[[#This Row],[Patient Age]]&gt;120),"INVALID","OK")</f>
        <v>OK</v>
      </c>
      <c r="Q13" t="str">
        <f>IF(HospitalData[[#This Row],[Patient Age]]&lt;1,"Infant",IF(HospitalData[[#This Row],[Patient Age]]&lt;13,"Child",IF(HospitalData[[#This Row],[Patient Age]]&lt;18,"Adolescent",IF(HospitalData[[#This Row],[Patient Age]]&lt;60,"Adult","Senior"))))</f>
        <v>Adult</v>
      </c>
      <c r="R13" t="str">
        <f>IF(HospitalData[[#This Row],[Length of Stay]]=0,"Same Day",IF(HospitalData[[#This Row],[Length of Stay]]&lt;=3,"1-3 Days",IF(HospitalData[[#This Row],[Length of Stay]]&lt;=7,"4-7 Days","8+ Days")))</f>
        <v>4-7 Days</v>
      </c>
      <c r="S13" t="str">
        <f>IF(HospitalData[[#This Row],[Total Charges]]&lt;0,"INVALID","OK")</f>
        <v>OK</v>
      </c>
      <c r="T13">
        <f t="shared" si="1"/>
        <v>1</v>
      </c>
      <c r="U13" t="s">
        <v>284</v>
      </c>
    </row>
    <row r="14" spans="1:22" x14ac:dyDescent="0.25">
      <c r="A14" t="s">
        <v>70</v>
      </c>
      <c r="B14" t="s">
        <v>71</v>
      </c>
      <c r="C14" s="1">
        <v>31322</v>
      </c>
      <c r="D14" t="s">
        <v>13</v>
      </c>
      <c r="E14" t="s">
        <v>72</v>
      </c>
      <c r="F14" t="s">
        <v>73</v>
      </c>
      <c r="G14" t="s">
        <v>74</v>
      </c>
      <c r="H14" s="1">
        <v>45718</v>
      </c>
      <c r="I14" s="1">
        <v>45722</v>
      </c>
      <c r="J14">
        <v>522.65</v>
      </c>
      <c r="K14" t="s">
        <v>63</v>
      </c>
      <c r="L14" s="1" t="b">
        <f t="shared" si="0"/>
        <v>1</v>
      </c>
      <c r="M14">
        <f>HospitalData[[#This Row],[Discharge Date]]-HospitalData[[#This Row],[Admission Date]]</f>
        <v>4</v>
      </c>
      <c r="N14" t="str">
        <f>IF(HospitalData[[#This Row],[Length of Stay]]&lt;0,"INVALID","OK")</f>
        <v>OK</v>
      </c>
      <c r="O14">
        <f>DATEDIF(HospitalData[[#This Row],[Date of Birth]],HospitalData[[#This Row],[Admission Date]],"y")</f>
        <v>39</v>
      </c>
      <c r="P14" t="str">
        <f>IF(OR(HospitalData[[#This Row],[Patient Age]]&lt;0,HospitalData[[#This Row],[Patient Age]]&gt;120),"INVALID","OK")</f>
        <v>OK</v>
      </c>
      <c r="Q14" t="str">
        <f>IF(HospitalData[[#This Row],[Patient Age]]&lt;1,"Infant",IF(HospitalData[[#This Row],[Patient Age]]&lt;13,"Child",IF(HospitalData[[#This Row],[Patient Age]]&lt;18,"Adolescent",IF(HospitalData[[#This Row],[Patient Age]]&lt;60,"Adult","Senior"))))</f>
        <v>Adult</v>
      </c>
      <c r="R14" t="str">
        <f>IF(HospitalData[[#This Row],[Length of Stay]]=0,"Same Day",IF(HospitalData[[#This Row],[Length of Stay]]&lt;=3,"1-3 Days",IF(HospitalData[[#This Row],[Length of Stay]]&lt;=7,"4-7 Days","8+ Days")))</f>
        <v>4-7 Days</v>
      </c>
      <c r="S14" t="str">
        <f>IF(HospitalData[[#This Row],[Total Charges]]&lt;0,"INVALID","OK")</f>
        <v>OK</v>
      </c>
      <c r="T14">
        <f t="shared" si="1"/>
        <v>1</v>
      </c>
      <c r="U14" t="s">
        <v>285</v>
      </c>
      <c r="V14" s="2" t="str">
        <f>IF(COUNTIF($A:$A,A2)&gt;1,"DUPLICATE","UNIQUE")</f>
        <v>UNIQUE</v>
      </c>
    </row>
    <row r="15" spans="1:22" x14ac:dyDescent="0.25">
      <c r="A15" t="s">
        <v>75</v>
      </c>
      <c r="B15" t="s">
        <v>76</v>
      </c>
      <c r="C15" s="1">
        <v>22661</v>
      </c>
      <c r="D15" t="s">
        <v>13</v>
      </c>
      <c r="E15" t="s">
        <v>48</v>
      </c>
      <c r="F15" t="s">
        <v>49</v>
      </c>
      <c r="G15" t="s">
        <v>77</v>
      </c>
      <c r="H15" s="1">
        <v>45637</v>
      </c>
      <c r="I15" s="1">
        <v>45648</v>
      </c>
      <c r="J15">
        <v>1118.98</v>
      </c>
      <c r="K15" t="s">
        <v>39</v>
      </c>
      <c r="L15" s="1" t="b">
        <f t="shared" si="0"/>
        <v>1</v>
      </c>
      <c r="M15">
        <f>HospitalData[[#This Row],[Discharge Date]]-HospitalData[[#This Row],[Admission Date]]</f>
        <v>11</v>
      </c>
      <c r="N15" t="str">
        <f>IF(HospitalData[[#This Row],[Length of Stay]]&lt;0,"INVALID","OK")</f>
        <v>OK</v>
      </c>
      <c r="O15">
        <f>DATEDIF(HospitalData[[#This Row],[Date of Birth]],HospitalData[[#This Row],[Admission Date]],"y")</f>
        <v>62</v>
      </c>
      <c r="P15" t="str">
        <f>IF(OR(HospitalData[[#This Row],[Patient Age]]&lt;0,HospitalData[[#This Row],[Patient Age]]&gt;120),"INVALID","OK")</f>
        <v>OK</v>
      </c>
      <c r="Q15" t="str">
        <f>IF(HospitalData[[#This Row],[Patient Age]]&lt;1,"Infant",IF(HospitalData[[#This Row],[Patient Age]]&lt;13,"Child",IF(HospitalData[[#This Row],[Patient Age]]&lt;18,"Adolescent",IF(HospitalData[[#This Row],[Patient Age]]&lt;60,"Adult","Senior"))))</f>
        <v>Senior</v>
      </c>
      <c r="R15" t="str">
        <f>IF(HospitalData[[#This Row],[Length of Stay]]=0,"Same Day",IF(HospitalData[[#This Row],[Length of Stay]]&lt;=3,"1-3 Days",IF(HospitalData[[#This Row],[Length of Stay]]&lt;=7,"4-7 Days","8+ Days")))</f>
        <v>8+ Days</v>
      </c>
      <c r="S15" t="str">
        <f>IF(HospitalData[[#This Row],[Total Charges]]&lt;0,"INVALID","OK")</f>
        <v>OK</v>
      </c>
      <c r="T15">
        <f t="shared" si="1"/>
        <v>1</v>
      </c>
      <c r="U15" t="s">
        <v>286</v>
      </c>
      <c r="V15" s="2">
        <f>COUNTIF(HospitalData[Date Check],"INVALID")</f>
        <v>0</v>
      </c>
    </row>
    <row r="16" spans="1:22" x14ac:dyDescent="0.25">
      <c r="A16" t="s">
        <v>78</v>
      </c>
      <c r="B16" t="s">
        <v>79</v>
      </c>
      <c r="C16" s="1">
        <v>32289</v>
      </c>
      <c r="D16" t="s">
        <v>13</v>
      </c>
      <c r="E16" t="s">
        <v>80</v>
      </c>
      <c r="F16" t="s">
        <v>81</v>
      </c>
      <c r="G16" t="s">
        <v>16</v>
      </c>
      <c r="H16" s="1">
        <v>46184</v>
      </c>
      <c r="I16" s="1">
        <v>46186</v>
      </c>
      <c r="J16">
        <v>13984.98</v>
      </c>
      <c r="K16" t="s">
        <v>17</v>
      </c>
      <c r="L16" s="1" t="b">
        <f t="shared" si="0"/>
        <v>1</v>
      </c>
      <c r="M16">
        <f>HospitalData[[#This Row],[Discharge Date]]-HospitalData[[#This Row],[Admission Date]]</f>
        <v>2</v>
      </c>
      <c r="N16" t="str">
        <f>IF(HospitalData[[#This Row],[Length of Stay]]&lt;0,"INVALID","OK")</f>
        <v>OK</v>
      </c>
      <c r="O16">
        <f>DATEDIF(HospitalData[[#This Row],[Date of Birth]],HospitalData[[#This Row],[Admission Date]],"y")</f>
        <v>38</v>
      </c>
      <c r="P16" t="str">
        <f>IF(OR(HospitalData[[#This Row],[Patient Age]]&lt;0,HospitalData[[#This Row],[Patient Age]]&gt;120),"INVALID","OK")</f>
        <v>OK</v>
      </c>
      <c r="Q16" t="str">
        <f>IF(HospitalData[[#This Row],[Patient Age]]&lt;1,"Infant",IF(HospitalData[[#This Row],[Patient Age]]&lt;13,"Child",IF(HospitalData[[#This Row],[Patient Age]]&lt;18,"Adolescent",IF(HospitalData[[#This Row],[Patient Age]]&lt;60,"Adult","Senior"))))</f>
        <v>Adult</v>
      </c>
      <c r="R16" t="str">
        <f>IF(HospitalData[[#This Row],[Length of Stay]]=0,"Same Day",IF(HospitalData[[#This Row],[Length of Stay]]&lt;=3,"1-3 Days",IF(HospitalData[[#This Row],[Length of Stay]]&lt;=7,"4-7 Days","8+ Days")))</f>
        <v>1-3 Days</v>
      </c>
      <c r="S16" t="str">
        <f>IF(HospitalData[[#This Row],[Total Charges]]&lt;0,"INVALID","OK")</f>
        <v>OK</v>
      </c>
      <c r="T16">
        <f t="shared" si="1"/>
        <v>1</v>
      </c>
      <c r="U16" t="s">
        <v>287</v>
      </c>
      <c r="V16" s="2">
        <f>COUNTIF(HospitalData[LoS Check],"INVALID")</f>
        <v>0</v>
      </c>
    </row>
    <row r="17" spans="1:22" x14ac:dyDescent="0.25">
      <c r="A17" t="s">
        <v>82</v>
      </c>
      <c r="B17" t="s">
        <v>83</v>
      </c>
      <c r="C17" s="1">
        <v>15349</v>
      </c>
      <c r="D17" t="s">
        <v>26</v>
      </c>
      <c r="E17" t="s">
        <v>84</v>
      </c>
      <c r="F17" t="s">
        <v>85</v>
      </c>
      <c r="G17" t="s">
        <v>68</v>
      </c>
      <c r="H17" s="1">
        <v>45933</v>
      </c>
      <c r="I17" s="1">
        <v>45944</v>
      </c>
      <c r="J17">
        <v>513.96</v>
      </c>
      <c r="K17" t="s">
        <v>69</v>
      </c>
      <c r="L17" s="1" t="b">
        <f t="shared" si="0"/>
        <v>1</v>
      </c>
      <c r="M17">
        <f>HospitalData[[#This Row],[Discharge Date]]-HospitalData[[#This Row],[Admission Date]]</f>
        <v>11</v>
      </c>
      <c r="N17" t="str">
        <f>IF(HospitalData[[#This Row],[Length of Stay]]&lt;0,"INVALID","OK")</f>
        <v>OK</v>
      </c>
      <c r="O17">
        <f>DATEDIF(HospitalData[[#This Row],[Date of Birth]],HospitalData[[#This Row],[Admission Date]],"y")</f>
        <v>83</v>
      </c>
      <c r="P17" t="str">
        <f>IF(OR(HospitalData[[#This Row],[Patient Age]]&lt;0,HospitalData[[#This Row],[Patient Age]]&gt;120),"INVALID","OK")</f>
        <v>OK</v>
      </c>
      <c r="Q17" t="str">
        <f>IF(HospitalData[[#This Row],[Patient Age]]&lt;1,"Infant",IF(HospitalData[[#This Row],[Patient Age]]&lt;13,"Child",IF(HospitalData[[#This Row],[Patient Age]]&lt;18,"Adolescent",IF(HospitalData[[#This Row],[Patient Age]]&lt;60,"Adult","Senior"))))</f>
        <v>Senior</v>
      </c>
      <c r="R17" t="str">
        <f>IF(HospitalData[[#This Row],[Length of Stay]]=0,"Same Day",IF(HospitalData[[#This Row],[Length of Stay]]&lt;=3,"1-3 Days",IF(HospitalData[[#This Row],[Length of Stay]]&lt;=7,"4-7 Days","8+ Days")))</f>
        <v>8+ Days</v>
      </c>
      <c r="S17" t="str">
        <f>IF(HospitalData[[#This Row],[Total Charges]]&lt;0,"INVALID","OK")</f>
        <v>OK</v>
      </c>
      <c r="T17">
        <f t="shared" si="1"/>
        <v>1</v>
      </c>
      <c r="U17" t="s">
        <v>288</v>
      </c>
      <c r="V17" s="2">
        <f>COUNTIF(HospitalData[Age Check],"INVALID")</f>
        <v>0</v>
      </c>
    </row>
    <row r="18" spans="1:22" x14ac:dyDescent="0.25">
      <c r="A18" t="s">
        <v>86</v>
      </c>
      <c r="B18" t="s">
        <v>87</v>
      </c>
      <c r="C18" s="1">
        <v>23790</v>
      </c>
      <c r="D18" t="s">
        <v>13</v>
      </c>
      <c r="E18" t="s">
        <v>80</v>
      </c>
      <c r="F18" t="s">
        <v>81</v>
      </c>
      <c r="G18" t="s">
        <v>77</v>
      </c>
      <c r="H18" s="1">
        <v>46270</v>
      </c>
      <c r="I18" s="1">
        <v>46277</v>
      </c>
      <c r="J18">
        <v>18151.57</v>
      </c>
      <c r="K18" t="s">
        <v>17</v>
      </c>
      <c r="L18" s="1" t="b">
        <f t="shared" si="0"/>
        <v>1</v>
      </c>
      <c r="M18">
        <f>HospitalData[[#This Row],[Discharge Date]]-HospitalData[[#This Row],[Admission Date]]</f>
        <v>7</v>
      </c>
      <c r="N18" t="str">
        <f>IF(HospitalData[[#This Row],[Length of Stay]]&lt;0,"INVALID","OK")</f>
        <v>OK</v>
      </c>
      <c r="O18">
        <f>DATEDIF(HospitalData[[#This Row],[Date of Birth]],HospitalData[[#This Row],[Admission Date]],"y")</f>
        <v>61</v>
      </c>
      <c r="P18" t="str">
        <f>IF(OR(HospitalData[[#This Row],[Patient Age]]&lt;0,HospitalData[[#This Row],[Patient Age]]&gt;120),"INVALID","OK")</f>
        <v>OK</v>
      </c>
      <c r="Q18" t="str">
        <f>IF(HospitalData[[#This Row],[Patient Age]]&lt;1,"Infant",IF(HospitalData[[#This Row],[Patient Age]]&lt;13,"Child",IF(HospitalData[[#This Row],[Patient Age]]&lt;18,"Adolescent",IF(HospitalData[[#This Row],[Patient Age]]&lt;60,"Adult","Senior"))))</f>
        <v>Senior</v>
      </c>
      <c r="R18" t="str">
        <f>IF(HospitalData[[#This Row],[Length of Stay]]=0,"Same Day",IF(HospitalData[[#This Row],[Length of Stay]]&lt;=3,"1-3 Days",IF(HospitalData[[#This Row],[Length of Stay]]&lt;=7,"4-7 Days","8+ Days")))</f>
        <v>4-7 Days</v>
      </c>
      <c r="S18" t="str">
        <f>IF(HospitalData[[#This Row],[Total Charges]]&lt;0,"INVALID","OK")</f>
        <v>OK</v>
      </c>
      <c r="T18">
        <f t="shared" si="1"/>
        <v>1</v>
      </c>
      <c r="U18" t="s">
        <v>289</v>
      </c>
      <c r="V18" s="2">
        <f>COUNTIF(HospitalData[Charges Check],"INVALID")</f>
        <v>0</v>
      </c>
    </row>
    <row r="19" spans="1:22" x14ac:dyDescent="0.25">
      <c r="A19" t="s">
        <v>88</v>
      </c>
      <c r="B19" t="s">
        <v>89</v>
      </c>
      <c r="C19" s="1">
        <v>45581</v>
      </c>
      <c r="D19" t="s">
        <v>13</v>
      </c>
      <c r="E19" t="s">
        <v>84</v>
      </c>
      <c r="F19" t="s">
        <v>85</v>
      </c>
      <c r="G19" t="s">
        <v>16</v>
      </c>
      <c r="H19" s="1">
        <v>46098</v>
      </c>
      <c r="I19" s="1">
        <v>46110</v>
      </c>
      <c r="J19">
        <v>1858.86</v>
      </c>
      <c r="K19" t="s">
        <v>69</v>
      </c>
      <c r="L19" s="1" t="b">
        <f t="shared" si="0"/>
        <v>1</v>
      </c>
      <c r="M19">
        <f>HospitalData[[#This Row],[Discharge Date]]-HospitalData[[#This Row],[Admission Date]]</f>
        <v>12</v>
      </c>
      <c r="N19" t="str">
        <f>IF(HospitalData[[#This Row],[Length of Stay]]&lt;0,"INVALID","OK")</f>
        <v>OK</v>
      </c>
      <c r="O19">
        <f>DATEDIF(HospitalData[[#This Row],[Date of Birth]],HospitalData[[#This Row],[Admission Date]],"y")</f>
        <v>1</v>
      </c>
      <c r="P19" t="str">
        <f>IF(OR(HospitalData[[#This Row],[Patient Age]]&lt;0,HospitalData[[#This Row],[Patient Age]]&gt;120),"INVALID","OK")</f>
        <v>OK</v>
      </c>
      <c r="Q19" t="str">
        <f>IF(HospitalData[[#This Row],[Patient Age]]&lt;1,"Infant",IF(HospitalData[[#This Row],[Patient Age]]&lt;13,"Child",IF(HospitalData[[#This Row],[Patient Age]]&lt;18,"Adolescent",IF(HospitalData[[#This Row],[Patient Age]]&lt;60,"Adult","Senior"))))</f>
        <v>Child</v>
      </c>
      <c r="R19" t="str">
        <f>IF(HospitalData[[#This Row],[Length of Stay]]=0,"Same Day",IF(HospitalData[[#This Row],[Length of Stay]]&lt;=3,"1-3 Days",IF(HospitalData[[#This Row],[Length of Stay]]&lt;=7,"4-7 Days","8+ Days")))</f>
        <v>8+ Days</v>
      </c>
      <c r="S19" t="str">
        <f>IF(HospitalData[[#This Row],[Total Charges]]&lt;0,"INVALID","OK")</f>
        <v>OK</v>
      </c>
      <c r="T19">
        <f t="shared" si="1"/>
        <v>1</v>
      </c>
      <c r="V19" s="2"/>
    </row>
    <row r="20" spans="1:22" x14ac:dyDescent="0.25">
      <c r="A20" t="s">
        <v>90</v>
      </c>
      <c r="B20" t="s">
        <v>91</v>
      </c>
      <c r="C20" s="1">
        <v>44029</v>
      </c>
      <c r="D20" t="s">
        <v>13</v>
      </c>
      <c r="E20" t="s">
        <v>42</v>
      </c>
      <c r="F20" t="s">
        <v>43</v>
      </c>
      <c r="G20" t="s">
        <v>92</v>
      </c>
      <c r="H20" s="1">
        <v>45919</v>
      </c>
      <c r="I20" s="1">
        <v>45930</v>
      </c>
      <c r="J20">
        <v>5480.15</v>
      </c>
      <c r="K20" t="s">
        <v>45</v>
      </c>
      <c r="L20" s="1" t="b">
        <f t="shared" si="0"/>
        <v>1</v>
      </c>
      <c r="M20">
        <f>HospitalData[[#This Row],[Discharge Date]]-HospitalData[[#This Row],[Admission Date]]</f>
        <v>11</v>
      </c>
      <c r="N20" t="str">
        <f>IF(HospitalData[[#This Row],[Length of Stay]]&lt;0,"INVALID","OK")</f>
        <v>OK</v>
      </c>
      <c r="O20">
        <f>DATEDIF(HospitalData[[#This Row],[Date of Birth]],HospitalData[[#This Row],[Admission Date]],"y")</f>
        <v>5</v>
      </c>
      <c r="P20" t="str">
        <f>IF(OR(HospitalData[[#This Row],[Patient Age]]&lt;0,HospitalData[[#This Row],[Patient Age]]&gt;120),"INVALID","OK")</f>
        <v>OK</v>
      </c>
      <c r="Q20" t="str">
        <f>IF(HospitalData[[#This Row],[Patient Age]]&lt;1,"Infant",IF(HospitalData[[#This Row],[Patient Age]]&lt;13,"Child",IF(HospitalData[[#This Row],[Patient Age]]&lt;18,"Adolescent",IF(HospitalData[[#This Row],[Patient Age]]&lt;60,"Adult","Senior"))))</f>
        <v>Child</v>
      </c>
      <c r="R20" t="str">
        <f>IF(HospitalData[[#This Row],[Length of Stay]]=0,"Same Day",IF(HospitalData[[#This Row],[Length of Stay]]&lt;=3,"1-3 Days",IF(HospitalData[[#This Row],[Length of Stay]]&lt;=7,"4-7 Days","8+ Days")))</f>
        <v>8+ Days</v>
      </c>
      <c r="S20" t="str">
        <f>IF(HospitalData[[#This Row],[Total Charges]]&lt;0,"INVALID","OK")</f>
        <v>OK</v>
      </c>
      <c r="T20">
        <f t="shared" si="1"/>
        <v>1</v>
      </c>
    </row>
    <row r="21" spans="1:22" x14ac:dyDescent="0.25">
      <c r="A21" t="s">
        <v>93</v>
      </c>
      <c r="B21" t="s">
        <v>94</v>
      </c>
      <c r="C21" s="1">
        <v>19740</v>
      </c>
      <c r="D21" t="s">
        <v>13</v>
      </c>
      <c r="E21" t="s">
        <v>58</v>
      </c>
      <c r="F21" t="s">
        <v>59</v>
      </c>
      <c r="G21" t="s">
        <v>22</v>
      </c>
      <c r="H21" s="1">
        <v>46285</v>
      </c>
      <c r="I21" s="1">
        <v>46293</v>
      </c>
      <c r="J21">
        <v>1099.75</v>
      </c>
      <c r="K21" t="s">
        <v>69</v>
      </c>
      <c r="L21" s="1" t="b">
        <f t="shared" si="0"/>
        <v>1</v>
      </c>
      <c r="M21">
        <f>HospitalData[[#This Row],[Discharge Date]]-HospitalData[[#This Row],[Admission Date]]</f>
        <v>8</v>
      </c>
      <c r="N21" t="str">
        <f>IF(HospitalData[[#This Row],[Length of Stay]]&lt;0,"INVALID","OK")</f>
        <v>OK</v>
      </c>
      <c r="O21">
        <f>DATEDIF(HospitalData[[#This Row],[Date of Birth]],HospitalData[[#This Row],[Admission Date]],"y")</f>
        <v>72</v>
      </c>
      <c r="P21" t="str">
        <f>IF(OR(HospitalData[[#This Row],[Patient Age]]&lt;0,HospitalData[[#This Row],[Patient Age]]&gt;120),"INVALID","OK")</f>
        <v>OK</v>
      </c>
      <c r="Q21" t="str">
        <f>IF(HospitalData[[#This Row],[Patient Age]]&lt;1,"Infant",IF(HospitalData[[#This Row],[Patient Age]]&lt;13,"Child",IF(HospitalData[[#This Row],[Patient Age]]&lt;18,"Adolescent",IF(HospitalData[[#This Row],[Patient Age]]&lt;60,"Adult","Senior"))))</f>
        <v>Senior</v>
      </c>
      <c r="R21" t="str">
        <f>IF(HospitalData[[#This Row],[Length of Stay]]=0,"Same Day",IF(HospitalData[[#This Row],[Length of Stay]]&lt;=3,"1-3 Days",IF(HospitalData[[#This Row],[Length of Stay]]&lt;=7,"4-7 Days","8+ Days")))</f>
        <v>8+ Days</v>
      </c>
      <c r="S21" t="str">
        <f>IF(HospitalData[[#This Row],[Total Charges]]&lt;0,"INVALID","OK")</f>
        <v>OK</v>
      </c>
      <c r="T21">
        <f t="shared" si="1"/>
        <v>1</v>
      </c>
    </row>
    <row r="22" spans="1:22" x14ac:dyDescent="0.25">
      <c r="A22" t="s">
        <v>95</v>
      </c>
      <c r="B22" t="s">
        <v>96</v>
      </c>
      <c r="C22" s="1">
        <v>13874</v>
      </c>
      <c r="D22" t="s">
        <v>13</v>
      </c>
      <c r="E22" t="s">
        <v>97</v>
      </c>
      <c r="F22" t="s">
        <v>98</v>
      </c>
      <c r="G22" t="s">
        <v>92</v>
      </c>
      <c r="H22" s="1">
        <v>46217</v>
      </c>
      <c r="I22" s="1">
        <v>46226</v>
      </c>
      <c r="J22">
        <v>1044.49</v>
      </c>
      <c r="K22" t="s">
        <v>17</v>
      </c>
      <c r="L22" s="1" t="b">
        <f t="shared" si="0"/>
        <v>1</v>
      </c>
      <c r="M22">
        <f>HospitalData[[#This Row],[Discharge Date]]-HospitalData[[#This Row],[Admission Date]]</f>
        <v>9</v>
      </c>
      <c r="N22" t="str">
        <f>IF(HospitalData[[#This Row],[Length of Stay]]&lt;0,"INVALID","OK")</f>
        <v>OK</v>
      </c>
      <c r="O22">
        <f>DATEDIF(HospitalData[[#This Row],[Date of Birth]],HospitalData[[#This Row],[Admission Date]],"y")</f>
        <v>88</v>
      </c>
      <c r="P22" t="str">
        <f>IF(OR(HospitalData[[#This Row],[Patient Age]]&lt;0,HospitalData[[#This Row],[Patient Age]]&gt;120),"INVALID","OK")</f>
        <v>OK</v>
      </c>
      <c r="Q22" t="str">
        <f>IF(HospitalData[[#This Row],[Patient Age]]&lt;1,"Infant",IF(HospitalData[[#This Row],[Patient Age]]&lt;13,"Child",IF(HospitalData[[#This Row],[Patient Age]]&lt;18,"Adolescent",IF(HospitalData[[#This Row],[Patient Age]]&lt;60,"Adult","Senior"))))</f>
        <v>Senior</v>
      </c>
      <c r="R22" t="str">
        <f>IF(HospitalData[[#This Row],[Length of Stay]]=0,"Same Day",IF(HospitalData[[#This Row],[Length of Stay]]&lt;=3,"1-3 Days",IF(HospitalData[[#This Row],[Length of Stay]]&lt;=7,"4-7 Days","8+ Days")))</f>
        <v>8+ Days</v>
      </c>
      <c r="S22" t="str">
        <f>IF(HospitalData[[#This Row],[Total Charges]]&lt;0,"INVALID","OK")</f>
        <v>OK</v>
      </c>
      <c r="T22">
        <f t="shared" si="1"/>
        <v>1</v>
      </c>
    </row>
    <row r="23" spans="1:22" x14ac:dyDescent="0.25">
      <c r="A23" t="s">
        <v>99</v>
      </c>
      <c r="B23" t="s">
        <v>100</v>
      </c>
      <c r="C23" s="1">
        <v>30638</v>
      </c>
      <c r="D23" t="s">
        <v>13</v>
      </c>
      <c r="E23" t="s">
        <v>101</v>
      </c>
      <c r="F23" t="s">
        <v>102</v>
      </c>
      <c r="G23" t="s">
        <v>34</v>
      </c>
      <c r="H23" s="1">
        <v>45886</v>
      </c>
      <c r="I23" s="1">
        <v>45896</v>
      </c>
      <c r="J23">
        <v>3558.16</v>
      </c>
      <c r="K23" t="s">
        <v>45</v>
      </c>
      <c r="L23" s="1" t="b">
        <f t="shared" si="0"/>
        <v>1</v>
      </c>
      <c r="M23">
        <f>HospitalData[[#This Row],[Discharge Date]]-HospitalData[[#This Row],[Admission Date]]</f>
        <v>10</v>
      </c>
      <c r="N23" t="str">
        <f>IF(HospitalData[[#This Row],[Length of Stay]]&lt;0,"INVALID","OK")</f>
        <v>OK</v>
      </c>
      <c r="O23">
        <f>DATEDIF(HospitalData[[#This Row],[Date of Birth]],HospitalData[[#This Row],[Admission Date]],"y")</f>
        <v>41</v>
      </c>
      <c r="P23" t="str">
        <f>IF(OR(HospitalData[[#This Row],[Patient Age]]&lt;0,HospitalData[[#This Row],[Patient Age]]&gt;120),"INVALID","OK")</f>
        <v>OK</v>
      </c>
      <c r="Q23" t="str">
        <f>IF(HospitalData[[#This Row],[Patient Age]]&lt;1,"Infant",IF(HospitalData[[#This Row],[Patient Age]]&lt;13,"Child",IF(HospitalData[[#This Row],[Patient Age]]&lt;18,"Adolescent",IF(HospitalData[[#This Row],[Patient Age]]&lt;60,"Adult","Senior"))))</f>
        <v>Adult</v>
      </c>
      <c r="R23" t="str">
        <f>IF(HospitalData[[#This Row],[Length of Stay]]=0,"Same Day",IF(HospitalData[[#This Row],[Length of Stay]]&lt;=3,"1-3 Days",IF(HospitalData[[#This Row],[Length of Stay]]&lt;=7,"4-7 Days","8+ Days")))</f>
        <v>8+ Days</v>
      </c>
      <c r="S23" t="str">
        <f>IF(HospitalData[[#This Row],[Total Charges]]&lt;0,"INVALID","OK")</f>
        <v>OK</v>
      </c>
      <c r="T23">
        <f t="shared" si="1"/>
        <v>1</v>
      </c>
    </row>
    <row r="24" spans="1:22" x14ac:dyDescent="0.25">
      <c r="A24" t="s">
        <v>103</v>
      </c>
      <c r="B24" t="s">
        <v>104</v>
      </c>
      <c r="C24" s="1">
        <v>20695</v>
      </c>
      <c r="D24" t="s">
        <v>13</v>
      </c>
      <c r="E24" t="s">
        <v>97</v>
      </c>
      <c r="F24" t="s">
        <v>98</v>
      </c>
      <c r="G24" t="s">
        <v>52</v>
      </c>
      <c r="H24" s="1">
        <v>45618</v>
      </c>
      <c r="I24" s="1">
        <v>45623</v>
      </c>
      <c r="J24">
        <v>1217.18</v>
      </c>
      <c r="K24" t="s">
        <v>45</v>
      </c>
      <c r="L24" s="1" t="b">
        <f t="shared" si="0"/>
        <v>1</v>
      </c>
      <c r="M24">
        <f>HospitalData[[#This Row],[Discharge Date]]-HospitalData[[#This Row],[Admission Date]]</f>
        <v>5</v>
      </c>
      <c r="N24" t="str">
        <f>IF(HospitalData[[#This Row],[Length of Stay]]&lt;0,"INVALID","OK")</f>
        <v>OK</v>
      </c>
      <c r="O24">
        <f>DATEDIF(HospitalData[[#This Row],[Date of Birth]],HospitalData[[#This Row],[Admission Date]],"y")</f>
        <v>68</v>
      </c>
      <c r="P24" t="str">
        <f>IF(OR(HospitalData[[#This Row],[Patient Age]]&lt;0,HospitalData[[#This Row],[Patient Age]]&gt;120),"INVALID","OK")</f>
        <v>OK</v>
      </c>
      <c r="Q24" t="str">
        <f>IF(HospitalData[[#This Row],[Patient Age]]&lt;1,"Infant",IF(HospitalData[[#This Row],[Patient Age]]&lt;13,"Child",IF(HospitalData[[#This Row],[Patient Age]]&lt;18,"Adolescent",IF(HospitalData[[#This Row],[Patient Age]]&lt;60,"Adult","Senior"))))</f>
        <v>Senior</v>
      </c>
      <c r="R24" t="str">
        <f>IF(HospitalData[[#This Row],[Length of Stay]]=0,"Same Day",IF(HospitalData[[#This Row],[Length of Stay]]&lt;=3,"1-3 Days",IF(HospitalData[[#This Row],[Length of Stay]]&lt;=7,"4-7 Days","8+ Days")))</f>
        <v>4-7 Days</v>
      </c>
      <c r="S24" t="str">
        <f>IF(HospitalData[[#This Row],[Total Charges]]&lt;0,"INVALID","OK")</f>
        <v>OK</v>
      </c>
      <c r="T24">
        <f t="shared" si="1"/>
        <v>1</v>
      </c>
    </row>
    <row r="25" spans="1:22" x14ac:dyDescent="0.25">
      <c r="A25" t="s">
        <v>105</v>
      </c>
      <c r="B25" t="s">
        <v>106</v>
      </c>
      <c r="C25" s="1">
        <v>25867</v>
      </c>
      <c r="D25" t="s">
        <v>26</v>
      </c>
      <c r="E25" t="s">
        <v>48</v>
      </c>
      <c r="F25" t="s">
        <v>49</v>
      </c>
      <c r="G25" t="s">
        <v>107</v>
      </c>
      <c r="H25" s="1">
        <v>45604</v>
      </c>
      <c r="I25" s="1">
        <v>45615</v>
      </c>
      <c r="J25">
        <v>1728.42</v>
      </c>
      <c r="K25" t="s">
        <v>17</v>
      </c>
      <c r="L25" s="1" t="b">
        <f t="shared" si="0"/>
        <v>1</v>
      </c>
      <c r="M25">
        <f>HospitalData[[#This Row],[Discharge Date]]-HospitalData[[#This Row],[Admission Date]]</f>
        <v>11</v>
      </c>
      <c r="N25" t="str">
        <f>IF(HospitalData[[#This Row],[Length of Stay]]&lt;0,"INVALID","OK")</f>
        <v>OK</v>
      </c>
      <c r="O25">
        <f>DATEDIF(HospitalData[[#This Row],[Date of Birth]],HospitalData[[#This Row],[Admission Date]],"y")</f>
        <v>54</v>
      </c>
      <c r="P25" t="str">
        <f>IF(OR(HospitalData[[#This Row],[Patient Age]]&lt;0,HospitalData[[#This Row],[Patient Age]]&gt;120),"INVALID","OK")</f>
        <v>OK</v>
      </c>
      <c r="Q25" t="str">
        <f>IF(HospitalData[[#This Row],[Patient Age]]&lt;1,"Infant",IF(HospitalData[[#This Row],[Patient Age]]&lt;13,"Child",IF(HospitalData[[#This Row],[Patient Age]]&lt;18,"Adolescent",IF(HospitalData[[#This Row],[Patient Age]]&lt;60,"Adult","Senior"))))</f>
        <v>Adult</v>
      </c>
      <c r="R25" t="str">
        <f>IF(HospitalData[[#This Row],[Length of Stay]]=0,"Same Day",IF(HospitalData[[#This Row],[Length of Stay]]&lt;=3,"1-3 Days",IF(HospitalData[[#This Row],[Length of Stay]]&lt;=7,"4-7 Days","8+ Days")))</f>
        <v>8+ Days</v>
      </c>
      <c r="S25" t="str">
        <f>IF(HospitalData[[#This Row],[Total Charges]]&lt;0,"INVALID","OK")</f>
        <v>OK</v>
      </c>
      <c r="T25">
        <f t="shared" si="1"/>
        <v>1</v>
      </c>
    </row>
    <row r="26" spans="1:22" x14ac:dyDescent="0.25">
      <c r="A26" t="s">
        <v>108</v>
      </c>
      <c r="B26" t="s">
        <v>109</v>
      </c>
      <c r="C26" s="1">
        <v>26548</v>
      </c>
      <c r="D26" t="s">
        <v>13</v>
      </c>
      <c r="E26" t="s">
        <v>110</v>
      </c>
      <c r="F26" t="s">
        <v>111</v>
      </c>
      <c r="G26" t="s">
        <v>29</v>
      </c>
      <c r="H26" s="1">
        <v>46255</v>
      </c>
      <c r="I26" s="1">
        <v>46260</v>
      </c>
      <c r="J26">
        <v>1814.99</v>
      </c>
      <c r="K26" t="s">
        <v>63</v>
      </c>
      <c r="L26" s="1" t="b">
        <f t="shared" si="0"/>
        <v>1</v>
      </c>
      <c r="M26">
        <f>HospitalData[[#This Row],[Discharge Date]]-HospitalData[[#This Row],[Admission Date]]</f>
        <v>5</v>
      </c>
      <c r="N26" t="str">
        <f>IF(HospitalData[[#This Row],[Length of Stay]]&lt;0,"INVALID","OK")</f>
        <v>OK</v>
      </c>
      <c r="O26">
        <f>DATEDIF(HospitalData[[#This Row],[Date of Birth]],HospitalData[[#This Row],[Admission Date]],"y")</f>
        <v>53</v>
      </c>
      <c r="P26" t="str">
        <f>IF(OR(HospitalData[[#This Row],[Patient Age]]&lt;0,HospitalData[[#This Row],[Patient Age]]&gt;120),"INVALID","OK")</f>
        <v>OK</v>
      </c>
      <c r="Q26" t="str">
        <f>IF(HospitalData[[#This Row],[Patient Age]]&lt;1,"Infant",IF(HospitalData[[#This Row],[Patient Age]]&lt;13,"Child",IF(HospitalData[[#This Row],[Patient Age]]&lt;18,"Adolescent",IF(HospitalData[[#This Row],[Patient Age]]&lt;60,"Adult","Senior"))))</f>
        <v>Adult</v>
      </c>
      <c r="R26" t="str">
        <f>IF(HospitalData[[#This Row],[Length of Stay]]=0,"Same Day",IF(HospitalData[[#This Row],[Length of Stay]]&lt;=3,"1-3 Days",IF(HospitalData[[#This Row],[Length of Stay]]&lt;=7,"4-7 Days","8+ Days")))</f>
        <v>4-7 Days</v>
      </c>
      <c r="S26" t="str">
        <f>IF(HospitalData[[#This Row],[Total Charges]]&lt;0,"INVALID","OK")</f>
        <v>OK</v>
      </c>
      <c r="T26">
        <f t="shared" si="1"/>
        <v>1</v>
      </c>
    </row>
    <row r="27" spans="1:22" x14ac:dyDescent="0.25">
      <c r="A27" t="s">
        <v>112</v>
      </c>
      <c r="B27" t="s">
        <v>113</v>
      </c>
      <c r="C27" s="1">
        <v>35864</v>
      </c>
      <c r="D27" t="s">
        <v>114</v>
      </c>
      <c r="E27" t="s">
        <v>101</v>
      </c>
      <c r="F27" t="s">
        <v>102</v>
      </c>
      <c r="G27" t="s">
        <v>115</v>
      </c>
      <c r="H27" s="1">
        <v>45758</v>
      </c>
      <c r="I27" s="1">
        <v>45770</v>
      </c>
      <c r="J27">
        <v>6245.57</v>
      </c>
      <c r="K27" t="s">
        <v>53</v>
      </c>
      <c r="L27" s="1" t="b">
        <f t="shared" si="0"/>
        <v>1</v>
      </c>
      <c r="M27">
        <f>HospitalData[[#This Row],[Discharge Date]]-HospitalData[[#This Row],[Admission Date]]</f>
        <v>12</v>
      </c>
      <c r="N27" t="str">
        <f>IF(HospitalData[[#This Row],[Length of Stay]]&lt;0,"INVALID","OK")</f>
        <v>OK</v>
      </c>
      <c r="O27">
        <f>DATEDIF(HospitalData[[#This Row],[Date of Birth]],HospitalData[[#This Row],[Admission Date]],"y")</f>
        <v>27</v>
      </c>
      <c r="P27" t="str">
        <f>IF(OR(HospitalData[[#This Row],[Patient Age]]&lt;0,HospitalData[[#This Row],[Patient Age]]&gt;120),"INVALID","OK")</f>
        <v>OK</v>
      </c>
      <c r="Q27" t="str">
        <f>IF(HospitalData[[#This Row],[Patient Age]]&lt;1,"Infant",IF(HospitalData[[#This Row],[Patient Age]]&lt;13,"Child",IF(HospitalData[[#This Row],[Patient Age]]&lt;18,"Adolescent",IF(HospitalData[[#This Row],[Patient Age]]&lt;60,"Adult","Senior"))))</f>
        <v>Adult</v>
      </c>
      <c r="R27" t="str">
        <f>IF(HospitalData[[#This Row],[Length of Stay]]=0,"Same Day",IF(HospitalData[[#This Row],[Length of Stay]]&lt;=3,"1-3 Days",IF(HospitalData[[#This Row],[Length of Stay]]&lt;=7,"4-7 Days","8+ Days")))</f>
        <v>8+ Days</v>
      </c>
      <c r="S27" t="str">
        <f>IF(HospitalData[[#This Row],[Total Charges]]&lt;0,"INVALID","OK")</f>
        <v>OK</v>
      </c>
      <c r="T27">
        <f t="shared" si="1"/>
        <v>1</v>
      </c>
    </row>
    <row r="28" spans="1:22" x14ac:dyDescent="0.25">
      <c r="A28" t="s">
        <v>116</v>
      </c>
      <c r="B28" t="s">
        <v>117</v>
      </c>
      <c r="C28" s="1">
        <v>41222</v>
      </c>
      <c r="D28" t="s">
        <v>26</v>
      </c>
      <c r="E28" t="s">
        <v>32</v>
      </c>
      <c r="F28" t="s">
        <v>33</v>
      </c>
      <c r="G28" t="s">
        <v>107</v>
      </c>
      <c r="H28" s="1">
        <v>46010</v>
      </c>
      <c r="I28" s="1">
        <v>46013</v>
      </c>
      <c r="J28">
        <v>1594.39</v>
      </c>
      <c r="K28" t="s">
        <v>63</v>
      </c>
      <c r="L28" s="1" t="b">
        <f t="shared" si="0"/>
        <v>1</v>
      </c>
      <c r="M28">
        <f>HospitalData[[#This Row],[Discharge Date]]-HospitalData[[#This Row],[Admission Date]]</f>
        <v>3</v>
      </c>
      <c r="N28" t="str">
        <f>IF(HospitalData[[#This Row],[Length of Stay]]&lt;0,"INVALID","OK")</f>
        <v>OK</v>
      </c>
      <c r="O28">
        <f>DATEDIF(HospitalData[[#This Row],[Date of Birth]],HospitalData[[#This Row],[Admission Date]],"y")</f>
        <v>13</v>
      </c>
      <c r="P28" t="str">
        <f>IF(OR(HospitalData[[#This Row],[Patient Age]]&lt;0,HospitalData[[#This Row],[Patient Age]]&gt;120),"INVALID","OK")</f>
        <v>OK</v>
      </c>
      <c r="Q28" t="str">
        <f>IF(HospitalData[[#This Row],[Patient Age]]&lt;1,"Infant",IF(HospitalData[[#This Row],[Patient Age]]&lt;13,"Child",IF(HospitalData[[#This Row],[Patient Age]]&lt;18,"Adolescent",IF(HospitalData[[#This Row],[Patient Age]]&lt;60,"Adult","Senior"))))</f>
        <v>Adolescent</v>
      </c>
      <c r="R28" t="str">
        <f>IF(HospitalData[[#This Row],[Length of Stay]]=0,"Same Day",IF(HospitalData[[#This Row],[Length of Stay]]&lt;=3,"1-3 Days",IF(HospitalData[[#This Row],[Length of Stay]]&lt;=7,"4-7 Days","8+ Days")))</f>
        <v>1-3 Days</v>
      </c>
      <c r="S28" t="str">
        <f>IF(HospitalData[[#This Row],[Total Charges]]&lt;0,"INVALID","OK")</f>
        <v>OK</v>
      </c>
      <c r="T28">
        <f t="shared" si="1"/>
        <v>1</v>
      </c>
    </row>
    <row r="29" spans="1:22" x14ac:dyDescent="0.25">
      <c r="A29" t="s">
        <v>118</v>
      </c>
      <c r="B29" t="s">
        <v>119</v>
      </c>
      <c r="C29" s="1">
        <v>41244</v>
      </c>
      <c r="D29" t="s">
        <v>13</v>
      </c>
      <c r="E29" t="s">
        <v>110</v>
      </c>
      <c r="F29" t="s">
        <v>111</v>
      </c>
      <c r="G29" t="s">
        <v>120</v>
      </c>
      <c r="H29" s="1">
        <v>46080</v>
      </c>
      <c r="I29" s="1">
        <v>46093</v>
      </c>
      <c r="J29">
        <v>2657.06</v>
      </c>
      <c r="K29" t="s">
        <v>17</v>
      </c>
      <c r="L29" s="1" t="b">
        <f t="shared" si="0"/>
        <v>1</v>
      </c>
      <c r="M29">
        <f>HospitalData[[#This Row],[Discharge Date]]-HospitalData[[#This Row],[Admission Date]]</f>
        <v>13</v>
      </c>
      <c r="N29" t="str">
        <f>IF(HospitalData[[#This Row],[Length of Stay]]&lt;0,"INVALID","OK")</f>
        <v>OK</v>
      </c>
      <c r="O29">
        <f>DATEDIF(HospitalData[[#This Row],[Date of Birth]],HospitalData[[#This Row],[Admission Date]],"y")</f>
        <v>13</v>
      </c>
      <c r="P29" t="str">
        <f>IF(OR(HospitalData[[#This Row],[Patient Age]]&lt;0,HospitalData[[#This Row],[Patient Age]]&gt;120),"INVALID","OK")</f>
        <v>OK</v>
      </c>
      <c r="Q29" t="str">
        <f>IF(HospitalData[[#This Row],[Patient Age]]&lt;1,"Infant",IF(HospitalData[[#This Row],[Patient Age]]&lt;13,"Child",IF(HospitalData[[#This Row],[Patient Age]]&lt;18,"Adolescent",IF(HospitalData[[#This Row],[Patient Age]]&lt;60,"Adult","Senior"))))</f>
        <v>Adolescent</v>
      </c>
      <c r="R29" t="str">
        <f>IF(HospitalData[[#This Row],[Length of Stay]]=0,"Same Day",IF(HospitalData[[#This Row],[Length of Stay]]&lt;=3,"1-3 Days",IF(HospitalData[[#This Row],[Length of Stay]]&lt;=7,"4-7 Days","8+ Days")))</f>
        <v>8+ Days</v>
      </c>
      <c r="S29" t="str">
        <f>IF(HospitalData[[#This Row],[Total Charges]]&lt;0,"INVALID","OK")</f>
        <v>OK</v>
      </c>
      <c r="T29">
        <f t="shared" si="1"/>
        <v>1</v>
      </c>
    </row>
    <row r="30" spans="1:22" x14ac:dyDescent="0.25">
      <c r="A30" t="s">
        <v>121</v>
      </c>
      <c r="B30" t="s">
        <v>122</v>
      </c>
      <c r="C30" s="1">
        <v>39501</v>
      </c>
      <c r="D30" t="s">
        <v>26</v>
      </c>
      <c r="E30" t="s">
        <v>20</v>
      </c>
      <c r="F30" t="s">
        <v>21</v>
      </c>
      <c r="G30" t="s">
        <v>68</v>
      </c>
      <c r="H30" s="1">
        <v>45929</v>
      </c>
      <c r="I30" s="1">
        <v>45932</v>
      </c>
      <c r="J30">
        <v>1797.48</v>
      </c>
      <c r="K30" t="s">
        <v>63</v>
      </c>
      <c r="L30" s="1" t="b">
        <f t="shared" si="0"/>
        <v>1</v>
      </c>
      <c r="M30">
        <f>HospitalData[[#This Row],[Discharge Date]]-HospitalData[[#This Row],[Admission Date]]</f>
        <v>3</v>
      </c>
      <c r="N30" t="str">
        <f>IF(HospitalData[[#This Row],[Length of Stay]]&lt;0,"INVALID","OK")</f>
        <v>OK</v>
      </c>
      <c r="O30">
        <f>DATEDIF(HospitalData[[#This Row],[Date of Birth]],HospitalData[[#This Row],[Admission Date]],"y")</f>
        <v>17</v>
      </c>
      <c r="P30" t="str">
        <f>IF(OR(HospitalData[[#This Row],[Patient Age]]&lt;0,HospitalData[[#This Row],[Patient Age]]&gt;120),"INVALID","OK")</f>
        <v>OK</v>
      </c>
      <c r="Q30" t="str">
        <f>IF(HospitalData[[#This Row],[Patient Age]]&lt;1,"Infant",IF(HospitalData[[#This Row],[Patient Age]]&lt;13,"Child",IF(HospitalData[[#This Row],[Patient Age]]&lt;18,"Adolescent",IF(HospitalData[[#This Row],[Patient Age]]&lt;60,"Adult","Senior"))))</f>
        <v>Adolescent</v>
      </c>
      <c r="R30" t="str">
        <f>IF(HospitalData[[#This Row],[Length of Stay]]=0,"Same Day",IF(HospitalData[[#This Row],[Length of Stay]]&lt;=3,"1-3 Days",IF(HospitalData[[#This Row],[Length of Stay]]&lt;=7,"4-7 Days","8+ Days")))</f>
        <v>1-3 Days</v>
      </c>
      <c r="S30" t="str">
        <f>IF(HospitalData[[#This Row],[Total Charges]]&lt;0,"INVALID","OK")</f>
        <v>OK</v>
      </c>
      <c r="T30">
        <f t="shared" si="1"/>
        <v>1</v>
      </c>
    </row>
    <row r="31" spans="1:22" x14ac:dyDescent="0.25">
      <c r="A31" t="s">
        <v>123</v>
      </c>
      <c r="B31" t="s">
        <v>124</v>
      </c>
      <c r="C31" s="1">
        <v>27234</v>
      </c>
      <c r="D31" t="s">
        <v>26</v>
      </c>
      <c r="E31" t="s">
        <v>72</v>
      </c>
      <c r="F31" t="s">
        <v>73</v>
      </c>
      <c r="G31" t="s">
        <v>115</v>
      </c>
      <c r="H31" s="1">
        <v>45866</v>
      </c>
      <c r="I31" s="1">
        <v>45876</v>
      </c>
      <c r="J31">
        <v>734.26</v>
      </c>
      <c r="K31" t="s">
        <v>63</v>
      </c>
      <c r="L31" s="1" t="b">
        <f t="shared" si="0"/>
        <v>1</v>
      </c>
      <c r="M31">
        <f>HospitalData[[#This Row],[Discharge Date]]-HospitalData[[#This Row],[Admission Date]]</f>
        <v>10</v>
      </c>
      <c r="N31" t="str">
        <f>IF(HospitalData[[#This Row],[Length of Stay]]&lt;0,"INVALID","OK")</f>
        <v>OK</v>
      </c>
      <c r="O31">
        <f>DATEDIF(HospitalData[[#This Row],[Date of Birth]],HospitalData[[#This Row],[Admission Date]],"y")</f>
        <v>51</v>
      </c>
      <c r="P31" t="str">
        <f>IF(OR(HospitalData[[#This Row],[Patient Age]]&lt;0,HospitalData[[#This Row],[Patient Age]]&gt;120),"INVALID","OK")</f>
        <v>OK</v>
      </c>
      <c r="Q31" t="str">
        <f>IF(HospitalData[[#This Row],[Patient Age]]&lt;1,"Infant",IF(HospitalData[[#This Row],[Patient Age]]&lt;13,"Child",IF(HospitalData[[#This Row],[Patient Age]]&lt;18,"Adolescent",IF(HospitalData[[#This Row],[Patient Age]]&lt;60,"Adult","Senior"))))</f>
        <v>Adult</v>
      </c>
      <c r="R31" t="str">
        <f>IF(HospitalData[[#This Row],[Length of Stay]]=0,"Same Day",IF(HospitalData[[#This Row],[Length of Stay]]&lt;=3,"1-3 Days",IF(HospitalData[[#This Row],[Length of Stay]]&lt;=7,"4-7 Days","8+ Days")))</f>
        <v>8+ Days</v>
      </c>
      <c r="S31" t="str">
        <f>IF(HospitalData[[#This Row],[Total Charges]]&lt;0,"INVALID","OK")</f>
        <v>OK</v>
      </c>
      <c r="T31">
        <f t="shared" si="1"/>
        <v>1</v>
      </c>
    </row>
    <row r="32" spans="1:22" x14ac:dyDescent="0.25">
      <c r="A32" t="s">
        <v>125</v>
      </c>
      <c r="B32" t="s">
        <v>126</v>
      </c>
      <c r="C32" s="1">
        <v>42787</v>
      </c>
      <c r="D32" t="s">
        <v>13</v>
      </c>
      <c r="E32" t="s">
        <v>42</v>
      </c>
      <c r="F32" t="s">
        <v>43</v>
      </c>
      <c r="G32" t="s">
        <v>29</v>
      </c>
      <c r="H32" s="1">
        <v>46035</v>
      </c>
      <c r="I32" s="1">
        <v>46048</v>
      </c>
      <c r="J32">
        <v>7326.3</v>
      </c>
      <c r="K32" t="s">
        <v>45</v>
      </c>
      <c r="L32" s="1" t="b">
        <f t="shared" si="0"/>
        <v>1</v>
      </c>
      <c r="M32">
        <f>HospitalData[[#This Row],[Discharge Date]]-HospitalData[[#This Row],[Admission Date]]</f>
        <v>13</v>
      </c>
      <c r="N32" t="str">
        <f>IF(HospitalData[[#This Row],[Length of Stay]]&lt;0,"INVALID","OK")</f>
        <v>OK</v>
      </c>
      <c r="O32">
        <f>DATEDIF(HospitalData[[#This Row],[Date of Birth]],HospitalData[[#This Row],[Admission Date]],"y")</f>
        <v>8</v>
      </c>
      <c r="P32" t="str">
        <f>IF(OR(HospitalData[[#This Row],[Patient Age]]&lt;0,HospitalData[[#This Row],[Patient Age]]&gt;120),"INVALID","OK")</f>
        <v>OK</v>
      </c>
      <c r="Q32" t="str">
        <f>IF(HospitalData[[#This Row],[Patient Age]]&lt;1,"Infant",IF(HospitalData[[#This Row],[Patient Age]]&lt;13,"Child",IF(HospitalData[[#This Row],[Patient Age]]&lt;18,"Adolescent",IF(HospitalData[[#This Row],[Patient Age]]&lt;60,"Adult","Senior"))))</f>
        <v>Child</v>
      </c>
      <c r="R32" t="str">
        <f>IF(HospitalData[[#This Row],[Length of Stay]]=0,"Same Day",IF(HospitalData[[#This Row],[Length of Stay]]&lt;=3,"1-3 Days",IF(HospitalData[[#This Row],[Length of Stay]]&lt;=7,"4-7 Days","8+ Days")))</f>
        <v>8+ Days</v>
      </c>
      <c r="S32" t="str">
        <f>IF(HospitalData[[#This Row],[Total Charges]]&lt;0,"INVALID","OK")</f>
        <v>OK</v>
      </c>
      <c r="T32">
        <f t="shared" si="1"/>
        <v>1</v>
      </c>
    </row>
    <row r="33" spans="1:20" x14ac:dyDescent="0.25">
      <c r="A33" t="s">
        <v>127</v>
      </c>
      <c r="B33" t="s">
        <v>128</v>
      </c>
      <c r="C33" s="1">
        <v>27356</v>
      </c>
      <c r="D33" t="s">
        <v>13</v>
      </c>
      <c r="E33" t="s">
        <v>14</v>
      </c>
      <c r="F33" t="s">
        <v>15</v>
      </c>
      <c r="G33" t="s">
        <v>129</v>
      </c>
      <c r="H33" s="1">
        <v>45788</v>
      </c>
      <c r="I33" s="1">
        <v>45794</v>
      </c>
      <c r="J33">
        <v>1248.49</v>
      </c>
      <c r="K33" t="s">
        <v>17</v>
      </c>
      <c r="L33" s="1" t="b">
        <f t="shared" si="0"/>
        <v>1</v>
      </c>
      <c r="M33">
        <f>HospitalData[[#This Row],[Discharge Date]]-HospitalData[[#This Row],[Admission Date]]</f>
        <v>6</v>
      </c>
      <c r="N33" t="str">
        <f>IF(HospitalData[[#This Row],[Length of Stay]]&lt;0,"INVALID","OK")</f>
        <v>OK</v>
      </c>
      <c r="O33">
        <f>DATEDIF(HospitalData[[#This Row],[Date of Birth]],HospitalData[[#This Row],[Admission Date]],"y")</f>
        <v>50</v>
      </c>
      <c r="P33" t="str">
        <f>IF(OR(HospitalData[[#This Row],[Patient Age]]&lt;0,HospitalData[[#This Row],[Patient Age]]&gt;120),"INVALID","OK")</f>
        <v>OK</v>
      </c>
      <c r="Q33" t="str">
        <f>IF(HospitalData[[#This Row],[Patient Age]]&lt;1,"Infant",IF(HospitalData[[#This Row],[Patient Age]]&lt;13,"Child",IF(HospitalData[[#This Row],[Patient Age]]&lt;18,"Adolescent",IF(HospitalData[[#This Row],[Patient Age]]&lt;60,"Adult","Senior"))))</f>
        <v>Adult</v>
      </c>
      <c r="R33" t="str">
        <f>IF(HospitalData[[#This Row],[Length of Stay]]=0,"Same Day",IF(HospitalData[[#This Row],[Length of Stay]]&lt;=3,"1-3 Days",IF(HospitalData[[#This Row],[Length of Stay]]&lt;=7,"4-7 Days","8+ Days")))</f>
        <v>4-7 Days</v>
      </c>
      <c r="S33" t="str">
        <f>IF(HospitalData[[#This Row],[Total Charges]]&lt;0,"INVALID","OK")</f>
        <v>OK</v>
      </c>
      <c r="T33">
        <f t="shared" si="1"/>
        <v>1</v>
      </c>
    </row>
    <row r="34" spans="1:20" x14ac:dyDescent="0.25">
      <c r="A34" t="s">
        <v>130</v>
      </c>
      <c r="B34" t="s">
        <v>131</v>
      </c>
      <c r="C34" s="1">
        <v>21107</v>
      </c>
      <c r="D34" t="s">
        <v>26</v>
      </c>
      <c r="E34" t="s">
        <v>101</v>
      </c>
      <c r="F34" t="s">
        <v>102</v>
      </c>
      <c r="G34" t="s">
        <v>107</v>
      </c>
      <c r="H34" s="1">
        <v>46016</v>
      </c>
      <c r="I34" s="1">
        <v>46024</v>
      </c>
      <c r="J34">
        <v>6730.84</v>
      </c>
      <c r="K34" t="s">
        <v>23</v>
      </c>
      <c r="L34" s="1" t="b">
        <f t="shared" ref="L34:L65" si="2">AND(ISNUMBER(C:C),ISNUMBER(H:H),ISNUMBER(I:I))</f>
        <v>1</v>
      </c>
      <c r="M34">
        <f>HospitalData[[#This Row],[Discharge Date]]-HospitalData[[#This Row],[Admission Date]]</f>
        <v>8</v>
      </c>
      <c r="N34" t="str">
        <f>IF(HospitalData[[#This Row],[Length of Stay]]&lt;0,"INVALID","OK")</f>
        <v>OK</v>
      </c>
      <c r="O34">
        <f>DATEDIF(HospitalData[[#This Row],[Date of Birth]],HospitalData[[#This Row],[Admission Date]],"y")</f>
        <v>68</v>
      </c>
      <c r="P34" t="str">
        <f>IF(OR(HospitalData[[#This Row],[Patient Age]]&lt;0,HospitalData[[#This Row],[Patient Age]]&gt;120),"INVALID","OK")</f>
        <v>OK</v>
      </c>
      <c r="Q34" t="str">
        <f>IF(HospitalData[[#This Row],[Patient Age]]&lt;1,"Infant",IF(HospitalData[[#This Row],[Patient Age]]&lt;13,"Child",IF(HospitalData[[#This Row],[Patient Age]]&lt;18,"Adolescent",IF(HospitalData[[#This Row],[Patient Age]]&lt;60,"Adult","Senior"))))</f>
        <v>Senior</v>
      </c>
      <c r="R34" t="str">
        <f>IF(HospitalData[[#This Row],[Length of Stay]]=0,"Same Day",IF(HospitalData[[#This Row],[Length of Stay]]&lt;=3,"1-3 Days",IF(HospitalData[[#This Row],[Length of Stay]]&lt;=7,"4-7 Days","8+ Days")))</f>
        <v>8+ Days</v>
      </c>
      <c r="S34" t="str">
        <f>IF(HospitalData[[#This Row],[Total Charges]]&lt;0,"INVALID","OK")</f>
        <v>OK</v>
      </c>
      <c r="T34">
        <f t="shared" si="1"/>
        <v>1</v>
      </c>
    </row>
    <row r="35" spans="1:20" x14ac:dyDescent="0.25">
      <c r="A35" t="s">
        <v>132</v>
      </c>
      <c r="B35" t="s">
        <v>133</v>
      </c>
      <c r="C35" s="1">
        <v>19311</v>
      </c>
      <c r="D35" t="s">
        <v>13</v>
      </c>
      <c r="E35" t="s">
        <v>101</v>
      </c>
      <c r="F35" t="s">
        <v>102</v>
      </c>
      <c r="G35" t="s">
        <v>107</v>
      </c>
      <c r="H35" s="1">
        <v>45724</v>
      </c>
      <c r="I35" s="1">
        <v>45727</v>
      </c>
      <c r="J35">
        <v>4008.4</v>
      </c>
      <c r="K35" t="s">
        <v>39</v>
      </c>
      <c r="L35" s="1" t="b">
        <f t="shared" si="2"/>
        <v>1</v>
      </c>
      <c r="M35">
        <f>HospitalData[[#This Row],[Discharge Date]]-HospitalData[[#This Row],[Admission Date]]</f>
        <v>3</v>
      </c>
      <c r="N35" t="str">
        <f>IF(HospitalData[[#This Row],[Length of Stay]]&lt;0,"INVALID","OK")</f>
        <v>OK</v>
      </c>
      <c r="O35">
        <f>DATEDIF(HospitalData[[#This Row],[Date of Birth]],HospitalData[[#This Row],[Admission Date]],"y")</f>
        <v>72</v>
      </c>
      <c r="P35" t="str">
        <f>IF(OR(HospitalData[[#This Row],[Patient Age]]&lt;0,HospitalData[[#This Row],[Patient Age]]&gt;120),"INVALID","OK")</f>
        <v>OK</v>
      </c>
      <c r="Q35" t="str">
        <f>IF(HospitalData[[#This Row],[Patient Age]]&lt;1,"Infant",IF(HospitalData[[#This Row],[Patient Age]]&lt;13,"Child",IF(HospitalData[[#This Row],[Patient Age]]&lt;18,"Adolescent",IF(HospitalData[[#This Row],[Patient Age]]&lt;60,"Adult","Senior"))))</f>
        <v>Senior</v>
      </c>
      <c r="R35" t="str">
        <f>IF(HospitalData[[#This Row],[Length of Stay]]=0,"Same Day",IF(HospitalData[[#This Row],[Length of Stay]]&lt;=3,"1-3 Days",IF(HospitalData[[#This Row],[Length of Stay]]&lt;=7,"4-7 Days","8+ Days")))</f>
        <v>1-3 Days</v>
      </c>
      <c r="S35" t="str">
        <f>IF(HospitalData[[#This Row],[Total Charges]]&lt;0,"INVALID","OK")</f>
        <v>OK</v>
      </c>
      <c r="T35">
        <f t="shared" si="1"/>
        <v>1</v>
      </c>
    </row>
    <row r="36" spans="1:20" x14ac:dyDescent="0.25">
      <c r="A36" t="s">
        <v>134</v>
      </c>
      <c r="B36" t="s">
        <v>135</v>
      </c>
      <c r="C36" s="1">
        <v>18366</v>
      </c>
      <c r="D36" t="s">
        <v>26</v>
      </c>
      <c r="E36" t="s">
        <v>14</v>
      </c>
      <c r="F36" t="s">
        <v>15</v>
      </c>
      <c r="G36" t="s">
        <v>115</v>
      </c>
      <c r="H36" s="1">
        <v>45871</v>
      </c>
      <c r="I36" s="1">
        <v>45879</v>
      </c>
      <c r="J36">
        <v>1556.15</v>
      </c>
      <c r="K36" t="s">
        <v>23</v>
      </c>
      <c r="L36" s="1" t="b">
        <f t="shared" si="2"/>
        <v>1</v>
      </c>
      <c r="M36">
        <f>HospitalData[[#This Row],[Discharge Date]]-HospitalData[[#This Row],[Admission Date]]</f>
        <v>8</v>
      </c>
      <c r="N36" t="str">
        <f>IF(HospitalData[[#This Row],[Length of Stay]]&lt;0,"INVALID","OK")</f>
        <v>OK</v>
      </c>
      <c r="O36">
        <f>DATEDIF(HospitalData[[#This Row],[Date of Birth]],HospitalData[[#This Row],[Admission Date]],"y")</f>
        <v>75</v>
      </c>
      <c r="P36" t="str">
        <f>IF(OR(HospitalData[[#This Row],[Patient Age]]&lt;0,HospitalData[[#This Row],[Patient Age]]&gt;120),"INVALID","OK")</f>
        <v>OK</v>
      </c>
      <c r="Q36" t="str">
        <f>IF(HospitalData[[#This Row],[Patient Age]]&lt;1,"Infant",IF(HospitalData[[#This Row],[Patient Age]]&lt;13,"Child",IF(HospitalData[[#This Row],[Patient Age]]&lt;18,"Adolescent",IF(HospitalData[[#This Row],[Patient Age]]&lt;60,"Adult","Senior"))))</f>
        <v>Senior</v>
      </c>
      <c r="R36" t="str">
        <f>IF(HospitalData[[#This Row],[Length of Stay]]=0,"Same Day",IF(HospitalData[[#This Row],[Length of Stay]]&lt;=3,"1-3 Days",IF(HospitalData[[#This Row],[Length of Stay]]&lt;=7,"4-7 Days","8+ Days")))</f>
        <v>8+ Days</v>
      </c>
      <c r="S36" t="str">
        <f>IF(HospitalData[[#This Row],[Total Charges]]&lt;0,"INVALID","OK")</f>
        <v>OK</v>
      </c>
      <c r="T36">
        <f t="shared" si="1"/>
        <v>1</v>
      </c>
    </row>
    <row r="37" spans="1:20" x14ac:dyDescent="0.25">
      <c r="A37" t="s">
        <v>136</v>
      </c>
      <c r="B37" t="s">
        <v>137</v>
      </c>
      <c r="C37" s="1">
        <v>27660</v>
      </c>
      <c r="D37" t="s">
        <v>26</v>
      </c>
      <c r="E37" t="s">
        <v>72</v>
      </c>
      <c r="F37" t="s">
        <v>73</v>
      </c>
      <c r="G37" t="s">
        <v>120</v>
      </c>
      <c r="H37" s="1">
        <v>45999</v>
      </c>
      <c r="I37" s="1">
        <v>46000</v>
      </c>
      <c r="J37">
        <v>996.61</v>
      </c>
      <c r="K37" t="s">
        <v>45</v>
      </c>
      <c r="L37" s="1" t="b">
        <f t="shared" si="2"/>
        <v>1</v>
      </c>
      <c r="M37">
        <f>HospitalData[[#This Row],[Discharge Date]]-HospitalData[[#This Row],[Admission Date]]</f>
        <v>1</v>
      </c>
      <c r="N37" t="str">
        <f>IF(HospitalData[[#This Row],[Length of Stay]]&lt;0,"INVALID","OK")</f>
        <v>OK</v>
      </c>
      <c r="O37">
        <f>DATEDIF(HospitalData[[#This Row],[Date of Birth]],HospitalData[[#This Row],[Admission Date]],"y")</f>
        <v>50</v>
      </c>
      <c r="P37" t="str">
        <f>IF(OR(HospitalData[[#This Row],[Patient Age]]&lt;0,HospitalData[[#This Row],[Patient Age]]&gt;120),"INVALID","OK")</f>
        <v>OK</v>
      </c>
      <c r="Q37" t="str">
        <f>IF(HospitalData[[#This Row],[Patient Age]]&lt;1,"Infant",IF(HospitalData[[#This Row],[Patient Age]]&lt;13,"Child",IF(HospitalData[[#This Row],[Patient Age]]&lt;18,"Adolescent",IF(HospitalData[[#This Row],[Patient Age]]&lt;60,"Adult","Senior"))))</f>
        <v>Adult</v>
      </c>
      <c r="R37" t="str">
        <f>IF(HospitalData[[#This Row],[Length of Stay]]=0,"Same Day",IF(HospitalData[[#This Row],[Length of Stay]]&lt;=3,"1-3 Days",IF(HospitalData[[#This Row],[Length of Stay]]&lt;=7,"4-7 Days","8+ Days")))</f>
        <v>1-3 Days</v>
      </c>
      <c r="S37" t="str">
        <f>IF(HospitalData[[#This Row],[Total Charges]]&lt;0,"INVALID","OK")</f>
        <v>OK</v>
      </c>
      <c r="T37">
        <f t="shared" si="1"/>
        <v>1</v>
      </c>
    </row>
    <row r="38" spans="1:20" x14ac:dyDescent="0.25">
      <c r="A38" t="s">
        <v>138</v>
      </c>
      <c r="B38" t="s">
        <v>139</v>
      </c>
      <c r="C38" s="1">
        <v>33523</v>
      </c>
      <c r="D38" t="s">
        <v>13</v>
      </c>
      <c r="E38" t="s">
        <v>110</v>
      </c>
      <c r="F38" t="s">
        <v>111</v>
      </c>
      <c r="G38" t="s">
        <v>140</v>
      </c>
      <c r="H38" s="1">
        <v>46127</v>
      </c>
      <c r="I38" s="1">
        <v>46135</v>
      </c>
      <c r="J38">
        <v>2808.97</v>
      </c>
      <c r="K38" t="s">
        <v>63</v>
      </c>
      <c r="L38" s="1" t="b">
        <f t="shared" si="2"/>
        <v>1</v>
      </c>
      <c r="M38">
        <f>HospitalData[[#This Row],[Discharge Date]]-HospitalData[[#This Row],[Admission Date]]</f>
        <v>8</v>
      </c>
      <c r="N38" t="str">
        <f>IF(HospitalData[[#This Row],[Length of Stay]]&lt;0,"INVALID","OK")</f>
        <v>OK</v>
      </c>
      <c r="O38">
        <f>DATEDIF(HospitalData[[#This Row],[Date of Birth]],HospitalData[[#This Row],[Admission Date]],"y")</f>
        <v>34</v>
      </c>
      <c r="P38" t="str">
        <f>IF(OR(HospitalData[[#This Row],[Patient Age]]&lt;0,HospitalData[[#This Row],[Patient Age]]&gt;120),"INVALID","OK")</f>
        <v>OK</v>
      </c>
      <c r="Q38" t="str">
        <f>IF(HospitalData[[#This Row],[Patient Age]]&lt;1,"Infant",IF(HospitalData[[#This Row],[Patient Age]]&lt;13,"Child",IF(HospitalData[[#This Row],[Patient Age]]&lt;18,"Adolescent",IF(HospitalData[[#This Row],[Patient Age]]&lt;60,"Adult","Senior"))))</f>
        <v>Adult</v>
      </c>
      <c r="R38" t="str">
        <f>IF(HospitalData[[#This Row],[Length of Stay]]=0,"Same Day",IF(HospitalData[[#This Row],[Length of Stay]]&lt;=3,"1-3 Days",IF(HospitalData[[#This Row],[Length of Stay]]&lt;=7,"4-7 Days","8+ Days")))</f>
        <v>8+ Days</v>
      </c>
      <c r="S38" t="str">
        <f>IF(HospitalData[[#This Row],[Total Charges]]&lt;0,"INVALID","OK")</f>
        <v>OK</v>
      </c>
      <c r="T38">
        <f t="shared" si="1"/>
        <v>1</v>
      </c>
    </row>
    <row r="39" spans="1:20" x14ac:dyDescent="0.25">
      <c r="A39" t="s">
        <v>141</v>
      </c>
      <c r="B39" t="s">
        <v>142</v>
      </c>
      <c r="C39" s="1">
        <v>37696</v>
      </c>
      <c r="D39" t="s">
        <v>26</v>
      </c>
      <c r="E39" t="s">
        <v>32</v>
      </c>
      <c r="F39" t="s">
        <v>33</v>
      </c>
      <c r="G39" t="s">
        <v>140</v>
      </c>
      <c r="H39" s="1">
        <v>45589</v>
      </c>
      <c r="I39" s="1">
        <v>45593</v>
      </c>
      <c r="J39">
        <v>2098.69</v>
      </c>
      <c r="K39" t="s">
        <v>23</v>
      </c>
      <c r="L39" s="1" t="b">
        <f t="shared" si="2"/>
        <v>1</v>
      </c>
      <c r="M39">
        <f>HospitalData[[#This Row],[Discharge Date]]-HospitalData[[#This Row],[Admission Date]]</f>
        <v>4</v>
      </c>
      <c r="N39" t="str">
        <f>IF(HospitalData[[#This Row],[Length of Stay]]&lt;0,"INVALID","OK")</f>
        <v>OK</v>
      </c>
      <c r="O39">
        <f>DATEDIF(HospitalData[[#This Row],[Date of Birth]],HospitalData[[#This Row],[Admission Date]],"y")</f>
        <v>21</v>
      </c>
      <c r="P39" t="str">
        <f>IF(OR(HospitalData[[#This Row],[Patient Age]]&lt;0,HospitalData[[#This Row],[Patient Age]]&gt;120),"INVALID","OK")</f>
        <v>OK</v>
      </c>
      <c r="Q39" t="str">
        <f>IF(HospitalData[[#This Row],[Patient Age]]&lt;1,"Infant",IF(HospitalData[[#This Row],[Patient Age]]&lt;13,"Child",IF(HospitalData[[#This Row],[Patient Age]]&lt;18,"Adolescent",IF(HospitalData[[#This Row],[Patient Age]]&lt;60,"Adult","Senior"))))</f>
        <v>Adult</v>
      </c>
      <c r="R39" t="str">
        <f>IF(HospitalData[[#This Row],[Length of Stay]]=0,"Same Day",IF(HospitalData[[#This Row],[Length of Stay]]&lt;=3,"1-3 Days",IF(HospitalData[[#This Row],[Length of Stay]]&lt;=7,"4-7 Days","8+ Days")))</f>
        <v>4-7 Days</v>
      </c>
      <c r="S39" t="str">
        <f>IF(HospitalData[[#This Row],[Total Charges]]&lt;0,"INVALID","OK")</f>
        <v>OK</v>
      </c>
      <c r="T39">
        <f t="shared" si="1"/>
        <v>1</v>
      </c>
    </row>
    <row r="40" spans="1:20" x14ac:dyDescent="0.25">
      <c r="A40" t="s">
        <v>143</v>
      </c>
      <c r="B40" t="s">
        <v>144</v>
      </c>
      <c r="C40" s="1">
        <v>20625</v>
      </c>
      <c r="D40" t="s">
        <v>26</v>
      </c>
      <c r="E40" t="s">
        <v>27</v>
      </c>
      <c r="F40" t="s">
        <v>28</v>
      </c>
      <c r="G40" t="s">
        <v>145</v>
      </c>
      <c r="H40" s="1">
        <v>46116</v>
      </c>
      <c r="I40" s="1">
        <v>46118</v>
      </c>
      <c r="J40">
        <v>43538.34</v>
      </c>
      <c r="K40" t="s">
        <v>69</v>
      </c>
      <c r="L40" s="1" t="b">
        <f t="shared" si="2"/>
        <v>1</v>
      </c>
      <c r="M40">
        <f>HospitalData[[#This Row],[Discharge Date]]-HospitalData[[#This Row],[Admission Date]]</f>
        <v>2</v>
      </c>
      <c r="N40" t="str">
        <f>IF(HospitalData[[#This Row],[Length of Stay]]&lt;0,"INVALID","OK")</f>
        <v>OK</v>
      </c>
      <c r="O40">
        <f>DATEDIF(HospitalData[[#This Row],[Date of Birth]],HospitalData[[#This Row],[Admission Date]],"y")</f>
        <v>69</v>
      </c>
      <c r="P40" t="str">
        <f>IF(OR(HospitalData[[#This Row],[Patient Age]]&lt;0,HospitalData[[#This Row],[Patient Age]]&gt;120),"INVALID","OK")</f>
        <v>OK</v>
      </c>
      <c r="Q40" t="str">
        <f>IF(HospitalData[[#This Row],[Patient Age]]&lt;1,"Infant",IF(HospitalData[[#This Row],[Patient Age]]&lt;13,"Child",IF(HospitalData[[#This Row],[Patient Age]]&lt;18,"Adolescent",IF(HospitalData[[#This Row],[Patient Age]]&lt;60,"Adult","Senior"))))</f>
        <v>Senior</v>
      </c>
      <c r="R40" t="str">
        <f>IF(HospitalData[[#This Row],[Length of Stay]]=0,"Same Day",IF(HospitalData[[#This Row],[Length of Stay]]&lt;=3,"1-3 Days",IF(HospitalData[[#This Row],[Length of Stay]]&lt;=7,"4-7 Days","8+ Days")))</f>
        <v>1-3 Days</v>
      </c>
      <c r="S40" t="str">
        <f>IF(HospitalData[[#This Row],[Total Charges]]&lt;0,"INVALID","OK")</f>
        <v>OK</v>
      </c>
      <c r="T40">
        <f t="shared" si="1"/>
        <v>1</v>
      </c>
    </row>
    <row r="41" spans="1:20" x14ac:dyDescent="0.25">
      <c r="A41" t="s">
        <v>146</v>
      </c>
      <c r="B41" t="s">
        <v>71</v>
      </c>
      <c r="C41" s="1">
        <v>15391</v>
      </c>
      <c r="D41" t="s">
        <v>26</v>
      </c>
      <c r="E41" t="s">
        <v>14</v>
      </c>
      <c r="F41" t="s">
        <v>15</v>
      </c>
      <c r="G41" t="s">
        <v>77</v>
      </c>
      <c r="H41" s="1">
        <v>45643</v>
      </c>
      <c r="I41" s="1">
        <v>45649</v>
      </c>
      <c r="J41">
        <v>2364.71</v>
      </c>
      <c r="K41" t="s">
        <v>69</v>
      </c>
      <c r="L41" s="1" t="b">
        <f t="shared" si="2"/>
        <v>1</v>
      </c>
      <c r="M41">
        <f>HospitalData[[#This Row],[Discharge Date]]-HospitalData[[#This Row],[Admission Date]]</f>
        <v>6</v>
      </c>
      <c r="N41" t="str">
        <f>IF(HospitalData[[#This Row],[Length of Stay]]&lt;0,"INVALID","OK")</f>
        <v>OK</v>
      </c>
      <c r="O41">
        <f>DATEDIF(HospitalData[[#This Row],[Date of Birth]],HospitalData[[#This Row],[Admission Date]],"y")</f>
        <v>82</v>
      </c>
      <c r="P41" t="str">
        <f>IF(OR(HospitalData[[#This Row],[Patient Age]]&lt;0,HospitalData[[#This Row],[Patient Age]]&gt;120),"INVALID","OK")</f>
        <v>OK</v>
      </c>
      <c r="Q41" t="str">
        <f>IF(HospitalData[[#This Row],[Patient Age]]&lt;1,"Infant",IF(HospitalData[[#This Row],[Patient Age]]&lt;13,"Child",IF(HospitalData[[#This Row],[Patient Age]]&lt;18,"Adolescent",IF(HospitalData[[#This Row],[Patient Age]]&lt;60,"Adult","Senior"))))</f>
        <v>Senior</v>
      </c>
      <c r="R41" t="str">
        <f>IF(HospitalData[[#This Row],[Length of Stay]]=0,"Same Day",IF(HospitalData[[#This Row],[Length of Stay]]&lt;=3,"1-3 Days",IF(HospitalData[[#This Row],[Length of Stay]]&lt;=7,"4-7 Days","8+ Days")))</f>
        <v>4-7 Days</v>
      </c>
      <c r="S41" t="str">
        <f>IF(HospitalData[[#This Row],[Total Charges]]&lt;0,"INVALID","OK")</f>
        <v>OK</v>
      </c>
      <c r="T41">
        <f t="shared" si="1"/>
        <v>1</v>
      </c>
    </row>
    <row r="42" spans="1:20" x14ac:dyDescent="0.25">
      <c r="A42" t="s">
        <v>147</v>
      </c>
      <c r="B42" t="s">
        <v>148</v>
      </c>
      <c r="C42" s="1">
        <v>25579</v>
      </c>
      <c r="D42" t="s">
        <v>26</v>
      </c>
      <c r="E42" t="s">
        <v>32</v>
      </c>
      <c r="F42" t="s">
        <v>33</v>
      </c>
      <c r="G42" t="s">
        <v>145</v>
      </c>
      <c r="H42" s="1">
        <v>45713</v>
      </c>
      <c r="I42" s="1">
        <v>45718</v>
      </c>
      <c r="J42">
        <v>1126.33</v>
      </c>
      <c r="K42" t="s">
        <v>17</v>
      </c>
      <c r="L42" s="1" t="b">
        <f t="shared" si="2"/>
        <v>1</v>
      </c>
      <c r="M42">
        <f>HospitalData[[#This Row],[Discharge Date]]-HospitalData[[#This Row],[Admission Date]]</f>
        <v>5</v>
      </c>
      <c r="N42" t="str">
        <f>IF(HospitalData[[#This Row],[Length of Stay]]&lt;0,"INVALID","OK")</f>
        <v>OK</v>
      </c>
      <c r="O42">
        <f>DATEDIF(HospitalData[[#This Row],[Date of Birth]],HospitalData[[#This Row],[Admission Date]],"y")</f>
        <v>55</v>
      </c>
      <c r="P42" t="str">
        <f>IF(OR(HospitalData[[#This Row],[Patient Age]]&lt;0,HospitalData[[#This Row],[Patient Age]]&gt;120),"INVALID","OK")</f>
        <v>OK</v>
      </c>
      <c r="Q42" t="str">
        <f>IF(HospitalData[[#This Row],[Patient Age]]&lt;1,"Infant",IF(HospitalData[[#This Row],[Patient Age]]&lt;13,"Child",IF(HospitalData[[#This Row],[Patient Age]]&lt;18,"Adolescent",IF(HospitalData[[#This Row],[Patient Age]]&lt;60,"Adult","Senior"))))</f>
        <v>Adult</v>
      </c>
      <c r="R42" t="str">
        <f>IF(HospitalData[[#This Row],[Length of Stay]]=0,"Same Day",IF(HospitalData[[#This Row],[Length of Stay]]&lt;=3,"1-3 Days",IF(HospitalData[[#This Row],[Length of Stay]]&lt;=7,"4-7 Days","8+ Days")))</f>
        <v>4-7 Days</v>
      </c>
      <c r="S42" t="str">
        <f>IF(HospitalData[[#This Row],[Total Charges]]&lt;0,"INVALID","OK")</f>
        <v>OK</v>
      </c>
      <c r="T42">
        <f t="shared" si="1"/>
        <v>1</v>
      </c>
    </row>
    <row r="43" spans="1:20" x14ac:dyDescent="0.25">
      <c r="A43" t="s">
        <v>149</v>
      </c>
      <c r="B43" t="s">
        <v>150</v>
      </c>
      <c r="C43" s="1">
        <v>26564</v>
      </c>
      <c r="D43" t="s">
        <v>114</v>
      </c>
      <c r="E43" t="s">
        <v>37</v>
      </c>
      <c r="F43" t="s">
        <v>38</v>
      </c>
      <c r="G43" t="s">
        <v>68</v>
      </c>
      <c r="H43" s="1">
        <v>46127</v>
      </c>
      <c r="I43" s="1">
        <v>46136</v>
      </c>
      <c r="J43">
        <v>1099.96</v>
      </c>
      <c r="K43" t="s">
        <v>53</v>
      </c>
      <c r="L43" s="1" t="b">
        <f t="shared" si="2"/>
        <v>1</v>
      </c>
      <c r="M43">
        <f>HospitalData[[#This Row],[Discharge Date]]-HospitalData[[#This Row],[Admission Date]]</f>
        <v>9</v>
      </c>
      <c r="N43" t="str">
        <f>IF(HospitalData[[#This Row],[Length of Stay]]&lt;0,"INVALID","OK")</f>
        <v>OK</v>
      </c>
      <c r="O43">
        <f>DATEDIF(HospitalData[[#This Row],[Date of Birth]],HospitalData[[#This Row],[Admission Date]],"y")</f>
        <v>53</v>
      </c>
      <c r="P43" t="str">
        <f>IF(OR(HospitalData[[#This Row],[Patient Age]]&lt;0,HospitalData[[#This Row],[Patient Age]]&gt;120),"INVALID","OK")</f>
        <v>OK</v>
      </c>
      <c r="Q43" t="str">
        <f>IF(HospitalData[[#This Row],[Patient Age]]&lt;1,"Infant",IF(HospitalData[[#This Row],[Patient Age]]&lt;13,"Child",IF(HospitalData[[#This Row],[Patient Age]]&lt;18,"Adolescent",IF(HospitalData[[#This Row],[Patient Age]]&lt;60,"Adult","Senior"))))</f>
        <v>Adult</v>
      </c>
      <c r="R43" t="str">
        <f>IF(HospitalData[[#This Row],[Length of Stay]]=0,"Same Day",IF(HospitalData[[#This Row],[Length of Stay]]&lt;=3,"1-3 Days",IF(HospitalData[[#This Row],[Length of Stay]]&lt;=7,"4-7 Days","8+ Days")))</f>
        <v>8+ Days</v>
      </c>
      <c r="S43" t="str">
        <f>IF(HospitalData[[#This Row],[Total Charges]]&lt;0,"INVALID","OK")</f>
        <v>OK</v>
      </c>
      <c r="T43">
        <f t="shared" si="1"/>
        <v>1</v>
      </c>
    </row>
    <row r="44" spans="1:20" x14ac:dyDescent="0.25">
      <c r="A44" t="s">
        <v>151</v>
      </c>
      <c r="B44" t="s">
        <v>152</v>
      </c>
      <c r="C44" s="1">
        <v>23870</v>
      </c>
      <c r="D44" t="s">
        <v>13</v>
      </c>
      <c r="E44" t="s">
        <v>84</v>
      </c>
      <c r="F44" t="s">
        <v>85</v>
      </c>
      <c r="G44" t="s">
        <v>92</v>
      </c>
      <c r="H44" s="1">
        <v>46095</v>
      </c>
      <c r="I44" s="1">
        <v>46096</v>
      </c>
      <c r="J44">
        <v>897.25</v>
      </c>
      <c r="K44" t="s">
        <v>69</v>
      </c>
      <c r="L44" s="1" t="b">
        <f t="shared" si="2"/>
        <v>1</v>
      </c>
      <c r="M44">
        <f>HospitalData[[#This Row],[Discharge Date]]-HospitalData[[#This Row],[Admission Date]]</f>
        <v>1</v>
      </c>
      <c r="N44" t="str">
        <f>IF(HospitalData[[#This Row],[Length of Stay]]&lt;0,"INVALID","OK")</f>
        <v>OK</v>
      </c>
      <c r="O44">
        <f>DATEDIF(HospitalData[[#This Row],[Date of Birth]],HospitalData[[#This Row],[Admission Date]],"y")</f>
        <v>60</v>
      </c>
      <c r="P44" t="str">
        <f>IF(OR(HospitalData[[#This Row],[Patient Age]]&lt;0,HospitalData[[#This Row],[Patient Age]]&gt;120),"INVALID","OK")</f>
        <v>OK</v>
      </c>
      <c r="Q44" t="str">
        <f>IF(HospitalData[[#This Row],[Patient Age]]&lt;1,"Infant",IF(HospitalData[[#This Row],[Patient Age]]&lt;13,"Child",IF(HospitalData[[#This Row],[Patient Age]]&lt;18,"Adolescent",IF(HospitalData[[#This Row],[Patient Age]]&lt;60,"Adult","Senior"))))</f>
        <v>Senior</v>
      </c>
      <c r="R44" t="str">
        <f>IF(HospitalData[[#This Row],[Length of Stay]]=0,"Same Day",IF(HospitalData[[#This Row],[Length of Stay]]&lt;=3,"1-3 Days",IF(HospitalData[[#This Row],[Length of Stay]]&lt;=7,"4-7 Days","8+ Days")))</f>
        <v>1-3 Days</v>
      </c>
      <c r="S44" t="str">
        <f>IF(HospitalData[[#This Row],[Total Charges]]&lt;0,"INVALID","OK")</f>
        <v>OK</v>
      </c>
      <c r="T44">
        <f t="shared" si="1"/>
        <v>1</v>
      </c>
    </row>
    <row r="45" spans="1:20" x14ac:dyDescent="0.25">
      <c r="A45" t="s">
        <v>153</v>
      </c>
      <c r="B45" t="s">
        <v>154</v>
      </c>
      <c r="C45" s="1">
        <v>45637</v>
      </c>
      <c r="D45" t="s">
        <v>13</v>
      </c>
      <c r="E45" t="s">
        <v>97</v>
      </c>
      <c r="F45" t="s">
        <v>98</v>
      </c>
      <c r="G45" t="s">
        <v>29</v>
      </c>
      <c r="H45" s="1">
        <v>45883</v>
      </c>
      <c r="I45" s="1">
        <v>45895</v>
      </c>
      <c r="J45">
        <v>1018.83</v>
      </c>
      <c r="K45" t="s">
        <v>45</v>
      </c>
      <c r="L45" s="1" t="b">
        <f t="shared" si="2"/>
        <v>1</v>
      </c>
      <c r="M45">
        <f>HospitalData[[#This Row],[Discharge Date]]-HospitalData[[#This Row],[Admission Date]]</f>
        <v>12</v>
      </c>
      <c r="N45" t="str">
        <f>IF(HospitalData[[#This Row],[Length of Stay]]&lt;0,"INVALID","OK")</f>
        <v>OK</v>
      </c>
      <c r="O45">
        <f>DATEDIF(HospitalData[[#This Row],[Date of Birth]],HospitalData[[#This Row],[Admission Date]],"y")</f>
        <v>0</v>
      </c>
      <c r="P45" t="str">
        <f>IF(OR(HospitalData[[#This Row],[Patient Age]]&lt;0,HospitalData[[#This Row],[Patient Age]]&gt;120),"INVALID","OK")</f>
        <v>OK</v>
      </c>
      <c r="Q45" t="str">
        <f>IF(HospitalData[[#This Row],[Patient Age]]&lt;1,"Infant",IF(HospitalData[[#This Row],[Patient Age]]&lt;13,"Child",IF(HospitalData[[#This Row],[Patient Age]]&lt;18,"Adolescent",IF(HospitalData[[#This Row],[Patient Age]]&lt;60,"Adult","Senior"))))</f>
        <v>Infant</v>
      </c>
      <c r="R45" t="str">
        <f>IF(HospitalData[[#This Row],[Length of Stay]]=0,"Same Day",IF(HospitalData[[#This Row],[Length of Stay]]&lt;=3,"1-3 Days",IF(HospitalData[[#This Row],[Length of Stay]]&lt;=7,"4-7 Days","8+ Days")))</f>
        <v>8+ Days</v>
      </c>
      <c r="S45" t="str">
        <f>IF(HospitalData[[#This Row],[Total Charges]]&lt;0,"INVALID","OK")</f>
        <v>OK</v>
      </c>
      <c r="T45">
        <f t="shared" si="1"/>
        <v>1</v>
      </c>
    </row>
    <row r="46" spans="1:20" x14ac:dyDescent="0.25">
      <c r="A46" t="s">
        <v>155</v>
      </c>
      <c r="B46" t="s">
        <v>156</v>
      </c>
      <c r="C46" s="1">
        <v>26044</v>
      </c>
      <c r="D46" t="s">
        <v>13</v>
      </c>
      <c r="E46" t="s">
        <v>32</v>
      </c>
      <c r="F46" t="s">
        <v>33</v>
      </c>
      <c r="G46" t="s">
        <v>60</v>
      </c>
      <c r="H46" s="1">
        <v>45727</v>
      </c>
      <c r="I46" s="1">
        <v>45741</v>
      </c>
      <c r="J46">
        <v>1181.1099999999999</v>
      </c>
      <c r="K46" t="s">
        <v>63</v>
      </c>
      <c r="L46" s="1" t="b">
        <f t="shared" si="2"/>
        <v>1</v>
      </c>
      <c r="M46">
        <f>HospitalData[[#This Row],[Discharge Date]]-HospitalData[[#This Row],[Admission Date]]</f>
        <v>14</v>
      </c>
      <c r="N46" t="str">
        <f>IF(HospitalData[[#This Row],[Length of Stay]]&lt;0,"INVALID","OK")</f>
        <v>OK</v>
      </c>
      <c r="O46">
        <f>DATEDIF(HospitalData[[#This Row],[Date of Birth]],HospitalData[[#This Row],[Admission Date]],"y")</f>
        <v>53</v>
      </c>
      <c r="P46" t="str">
        <f>IF(OR(HospitalData[[#This Row],[Patient Age]]&lt;0,HospitalData[[#This Row],[Patient Age]]&gt;120),"INVALID","OK")</f>
        <v>OK</v>
      </c>
      <c r="Q46" t="str">
        <f>IF(HospitalData[[#This Row],[Patient Age]]&lt;1,"Infant",IF(HospitalData[[#This Row],[Patient Age]]&lt;13,"Child",IF(HospitalData[[#This Row],[Patient Age]]&lt;18,"Adolescent",IF(HospitalData[[#This Row],[Patient Age]]&lt;60,"Adult","Senior"))))</f>
        <v>Adult</v>
      </c>
      <c r="R46" t="str">
        <f>IF(HospitalData[[#This Row],[Length of Stay]]=0,"Same Day",IF(HospitalData[[#This Row],[Length of Stay]]&lt;=3,"1-3 Days",IF(HospitalData[[#This Row],[Length of Stay]]&lt;=7,"4-7 Days","8+ Days")))</f>
        <v>8+ Days</v>
      </c>
      <c r="S46" t="str">
        <f>IF(HospitalData[[#This Row],[Total Charges]]&lt;0,"INVALID","OK")</f>
        <v>OK</v>
      </c>
      <c r="T46">
        <f t="shared" si="1"/>
        <v>1</v>
      </c>
    </row>
    <row r="47" spans="1:20" x14ac:dyDescent="0.25">
      <c r="A47" t="s">
        <v>157</v>
      </c>
      <c r="B47" t="s">
        <v>158</v>
      </c>
      <c r="C47" s="1">
        <v>37055</v>
      </c>
      <c r="D47" t="s">
        <v>26</v>
      </c>
      <c r="E47" t="s">
        <v>72</v>
      </c>
      <c r="F47" t="s">
        <v>73</v>
      </c>
      <c r="G47" t="s">
        <v>159</v>
      </c>
      <c r="H47" s="1">
        <v>45995</v>
      </c>
      <c r="I47" s="1">
        <v>46001</v>
      </c>
      <c r="J47">
        <v>705.88</v>
      </c>
      <c r="K47" t="s">
        <v>23</v>
      </c>
      <c r="L47" s="1" t="b">
        <f t="shared" si="2"/>
        <v>1</v>
      </c>
      <c r="M47">
        <f>HospitalData[[#This Row],[Discharge Date]]-HospitalData[[#This Row],[Admission Date]]</f>
        <v>6</v>
      </c>
      <c r="N47" t="str">
        <f>IF(HospitalData[[#This Row],[Length of Stay]]&lt;0,"INVALID","OK")</f>
        <v>OK</v>
      </c>
      <c r="O47">
        <f>DATEDIF(HospitalData[[#This Row],[Date of Birth]],HospitalData[[#This Row],[Admission Date]],"y")</f>
        <v>24</v>
      </c>
      <c r="P47" t="str">
        <f>IF(OR(HospitalData[[#This Row],[Patient Age]]&lt;0,HospitalData[[#This Row],[Patient Age]]&gt;120),"INVALID","OK")</f>
        <v>OK</v>
      </c>
      <c r="Q47" t="str">
        <f>IF(HospitalData[[#This Row],[Patient Age]]&lt;1,"Infant",IF(HospitalData[[#This Row],[Patient Age]]&lt;13,"Child",IF(HospitalData[[#This Row],[Patient Age]]&lt;18,"Adolescent",IF(HospitalData[[#This Row],[Patient Age]]&lt;60,"Adult","Senior"))))</f>
        <v>Adult</v>
      </c>
      <c r="R47" t="str">
        <f>IF(HospitalData[[#This Row],[Length of Stay]]=0,"Same Day",IF(HospitalData[[#This Row],[Length of Stay]]&lt;=3,"1-3 Days",IF(HospitalData[[#This Row],[Length of Stay]]&lt;=7,"4-7 Days","8+ Days")))</f>
        <v>4-7 Days</v>
      </c>
      <c r="S47" t="str">
        <f>IF(HospitalData[[#This Row],[Total Charges]]&lt;0,"INVALID","OK")</f>
        <v>OK</v>
      </c>
      <c r="T47">
        <f t="shared" si="1"/>
        <v>1</v>
      </c>
    </row>
    <row r="48" spans="1:20" x14ac:dyDescent="0.25">
      <c r="A48" t="s">
        <v>160</v>
      </c>
      <c r="B48" t="s">
        <v>161</v>
      </c>
      <c r="C48" s="1">
        <v>37373</v>
      </c>
      <c r="D48" t="s">
        <v>13</v>
      </c>
      <c r="E48" t="s">
        <v>42</v>
      </c>
      <c r="F48" t="s">
        <v>43</v>
      </c>
      <c r="G48" t="s">
        <v>60</v>
      </c>
      <c r="H48" s="1">
        <v>46003</v>
      </c>
      <c r="I48" s="1">
        <v>46009</v>
      </c>
      <c r="J48">
        <v>14699.25</v>
      </c>
      <c r="K48" t="s">
        <v>45</v>
      </c>
      <c r="L48" s="1" t="b">
        <f t="shared" si="2"/>
        <v>1</v>
      </c>
      <c r="M48">
        <f>HospitalData[[#This Row],[Discharge Date]]-HospitalData[[#This Row],[Admission Date]]</f>
        <v>6</v>
      </c>
      <c r="N48" t="str">
        <f>IF(HospitalData[[#This Row],[Length of Stay]]&lt;0,"INVALID","OK")</f>
        <v>OK</v>
      </c>
      <c r="O48">
        <f>DATEDIF(HospitalData[[#This Row],[Date of Birth]],HospitalData[[#This Row],[Admission Date]],"y")</f>
        <v>23</v>
      </c>
      <c r="P48" t="str">
        <f>IF(OR(HospitalData[[#This Row],[Patient Age]]&lt;0,HospitalData[[#This Row],[Patient Age]]&gt;120),"INVALID","OK")</f>
        <v>OK</v>
      </c>
      <c r="Q48" t="str">
        <f>IF(HospitalData[[#This Row],[Patient Age]]&lt;1,"Infant",IF(HospitalData[[#This Row],[Patient Age]]&lt;13,"Child",IF(HospitalData[[#This Row],[Patient Age]]&lt;18,"Adolescent",IF(HospitalData[[#This Row],[Patient Age]]&lt;60,"Adult","Senior"))))</f>
        <v>Adult</v>
      </c>
      <c r="R48" t="str">
        <f>IF(HospitalData[[#This Row],[Length of Stay]]=0,"Same Day",IF(HospitalData[[#This Row],[Length of Stay]]&lt;=3,"1-3 Days",IF(HospitalData[[#This Row],[Length of Stay]]&lt;=7,"4-7 Days","8+ Days")))</f>
        <v>4-7 Days</v>
      </c>
      <c r="S48" t="str">
        <f>IF(HospitalData[[#This Row],[Total Charges]]&lt;0,"INVALID","OK")</f>
        <v>OK</v>
      </c>
      <c r="T48">
        <f t="shared" si="1"/>
        <v>1</v>
      </c>
    </row>
    <row r="49" spans="1:20" x14ac:dyDescent="0.25">
      <c r="A49" t="s">
        <v>162</v>
      </c>
      <c r="B49" t="s">
        <v>163</v>
      </c>
      <c r="C49" s="1">
        <v>42170</v>
      </c>
      <c r="D49" t="s">
        <v>13</v>
      </c>
      <c r="E49" t="s">
        <v>58</v>
      </c>
      <c r="F49" t="s">
        <v>59</v>
      </c>
      <c r="G49" t="s">
        <v>164</v>
      </c>
      <c r="H49" s="1">
        <v>45971</v>
      </c>
      <c r="I49" s="1">
        <v>45982</v>
      </c>
      <c r="J49">
        <v>732.44</v>
      </c>
      <c r="K49" t="s">
        <v>69</v>
      </c>
      <c r="L49" s="1" t="b">
        <f t="shared" si="2"/>
        <v>1</v>
      </c>
      <c r="M49">
        <f>HospitalData[[#This Row],[Discharge Date]]-HospitalData[[#This Row],[Admission Date]]</f>
        <v>11</v>
      </c>
      <c r="N49" t="str">
        <f>IF(HospitalData[[#This Row],[Length of Stay]]&lt;0,"INVALID","OK")</f>
        <v>OK</v>
      </c>
      <c r="O49">
        <f>DATEDIF(HospitalData[[#This Row],[Date of Birth]],HospitalData[[#This Row],[Admission Date]],"y")</f>
        <v>10</v>
      </c>
      <c r="P49" t="str">
        <f>IF(OR(HospitalData[[#This Row],[Patient Age]]&lt;0,HospitalData[[#This Row],[Patient Age]]&gt;120),"INVALID","OK")</f>
        <v>OK</v>
      </c>
      <c r="Q49" t="str">
        <f>IF(HospitalData[[#This Row],[Patient Age]]&lt;1,"Infant",IF(HospitalData[[#This Row],[Patient Age]]&lt;13,"Child",IF(HospitalData[[#This Row],[Patient Age]]&lt;18,"Adolescent",IF(HospitalData[[#This Row],[Patient Age]]&lt;60,"Adult","Senior"))))</f>
        <v>Child</v>
      </c>
      <c r="R49" t="str">
        <f>IF(HospitalData[[#This Row],[Length of Stay]]=0,"Same Day",IF(HospitalData[[#This Row],[Length of Stay]]&lt;=3,"1-3 Days",IF(HospitalData[[#This Row],[Length of Stay]]&lt;=7,"4-7 Days","8+ Days")))</f>
        <v>8+ Days</v>
      </c>
      <c r="S49" t="str">
        <f>IF(HospitalData[[#This Row],[Total Charges]]&lt;0,"INVALID","OK")</f>
        <v>OK</v>
      </c>
      <c r="T49">
        <f t="shared" si="1"/>
        <v>1</v>
      </c>
    </row>
    <row r="50" spans="1:20" x14ac:dyDescent="0.25">
      <c r="A50" t="s">
        <v>165</v>
      </c>
      <c r="B50" t="s">
        <v>166</v>
      </c>
      <c r="C50" s="1">
        <v>41871</v>
      </c>
      <c r="D50" t="s">
        <v>13</v>
      </c>
      <c r="E50" t="s">
        <v>66</v>
      </c>
      <c r="F50" t="s">
        <v>67</v>
      </c>
      <c r="G50" t="s">
        <v>164</v>
      </c>
      <c r="H50" s="1">
        <v>45700</v>
      </c>
      <c r="I50" s="1">
        <v>45710</v>
      </c>
      <c r="J50">
        <v>1044.33</v>
      </c>
      <c r="K50" t="s">
        <v>45</v>
      </c>
      <c r="L50" s="1" t="b">
        <f t="shared" si="2"/>
        <v>1</v>
      </c>
      <c r="M50">
        <f>HospitalData[[#This Row],[Discharge Date]]-HospitalData[[#This Row],[Admission Date]]</f>
        <v>10</v>
      </c>
      <c r="N50" t="str">
        <f>IF(HospitalData[[#This Row],[Length of Stay]]&lt;0,"INVALID","OK")</f>
        <v>OK</v>
      </c>
      <c r="O50">
        <f>DATEDIF(HospitalData[[#This Row],[Date of Birth]],HospitalData[[#This Row],[Admission Date]],"y")</f>
        <v>10</v>
      </c>
      <c r="P50" t="str">
        <f>IF(OR(HospitalData[[#This Row],[Patient Age]]&lt;0,HospitalData[[#This Row],[Patient Age]]&gt;120),"INVALID","OK")</f>
        <v>OK</v>
      </c>
      <c r="Q50" t="str">
        <f>IF(HospitalData[[#This Row],[Patient Age]]&lt;1,"Infant",IF(HospitalData[[#This Row],[Patient Age]]&lt;13,"Child",IF(HospitalData[[#This Row],[Patient Age]]&lt;18,"Adolescent",IF(HospitalData[[#This Row],[Patient Age]]&lt;60,"Adult","Senior"))))</f>
        <v>Child</v>
      </c>
      <c r="R50" t="str">
        <f>IF(HospitalData[[#This Row],[Length of Stay]]=0,"Same Day",IF(HospitalData[[#This Row],[Length of Stay]]&lt;=3,"1-3 Days",IF(HospitalData[[#This Row],[Length of Stay]]&lt;=7,"4-7 Days","8+ Days")))</f>
        <v>8+ Days</v>
      </c>
      <c r="S50" t="str">
        <f>IF(HospitalData[[#This Row],[Total Charges]]&lt;0,"INVALID","OK")</f>
        <v>OK</v>
      </c>
      <c r="T50">
        <f t="shared" si="1"/>
        <v>1</v>
      </c>
    </row>
    <row r="51" spans="1:20" x14ac:dyDescent="0.25">
      <c r="A51" t="s">
        <v>167</v>
      </c>
      <c r="B51" t="s">
        <v>168</v>
      </c>
      <c r="C51" s="1">
        <v>37936</v>
      </c>
      <c r="D51" t="s">
        <v>13</v>
      </c>
      <c r="E51" t="s">
        <v>72</v>
      </c>
      <c r="F51" t="s">
        <v>73</v>
      </c>
      <c r="G51" t="s">
        <v>29</v>
      </c>
      <c r="H51" s="1">
        <v>46197</v>
      </c>
      <c r="I51" s="1">
        <v>46200</v>
      </c>
      <c r="J51">
        <v>1372.75</v>
      </c>
      <c r="K51" t="s">
        <v>69</v>
      </c>
      <c r="L51" s="1" t="b">
        <f t="shared" si="2"/>
        <v>1</v>
      </c>
      <c r="M51">
        <f>HospitalData[[#This Row],[Discharge Date]]-HospitalData[[#This Row],[Admission Date]]</f>
        <v>3</v>
      </c>
      <c r="N51" t="str">
        <f>IF(HospitalData[[#This Row],[Length of Stay]]&lt;0,"INVALID","OK")</f>
        <v>OK</v>
      </c>
      <c r="O51">
        <f>DATEDIF(HospitalData[[#This Row],[Date of Birth]],HospitalData[[#This Row],[Admission Date]],"y")</f>
        <v>22</v>
      </c>
      <c r="P51" t="str">
        <f>IF(OR(HospitalData[[#This Row],[Patient Age]]&lt;0,HospitalData[[#This Row],[Patient Age]]&gt;120),"INVALID","OK")</f>
        <v>OK</v>
      </c>
      <c r="Q51" t="str">
        <f>IF(HospitalData[[#This Row],[Patient Age]]&lt;1,"Infant",IF(HospitalData[[#This Row],[Patient Age]]&lt;13,"Child",IF(HospitalData[[#This Row],[Patient Age]]&lt;18,"Adolescent",IF(HospitalData[[#This Row],[Patient Age]]&lt;60,"Adult","Senior"))))</f>
        <v>Adult</v>
      </c>
      <c r="R51" t="str">
        <f>IF(HospitalData[[#This Row],[Length of Stay]]=0,"Same Day",IF(HospitalData[[#This Row],[Length of Stay]]&lt;=3,"1-3 Days",IF(HospitalData[[#This Row],[Length of Stay]]&lt;=7,"4-7 Days","8+ Days")))</f>
        <v>1-3 Days</v>
      </c>
      <c r="S51" t="str">
        <f>IF(HospitalData[[#This Row],[Total Charges]]&lt;0,"INVALID","OK")</f>
        <v>OK</v>
      </c>
      <c r="T51">
        <f t="shared" si="1"/>
        <v>1</v>
      </c>
    </row>
    <row r="52" spans="1:20" x14ac:dyDescent="0.25">
      <c r="A52" t="s">
        <v>169</v>
      </c>
      <c r="B52" t="s">
        <v>170</v>
      </c>
      <c r="C52" s="1">
        <v>14112</v>
      </c>
      <c r="D52" t="s">
        <v>26</v>
      </c>
      <c r="E52" t="s">
        <v>20</v>
      </c>
      <c r="F52" t="s">
        <v>21</v>
      </c>
      <c r="G52" t="s">
        <v>60</v>
      </c>
      <c r="H52" s="1">
        <v>46017</v>
      </c>
      <c r="I52" s="1">
        <v>46031</v>
      </c>
      <c r="J52">
        <v>4912.25</v>
      </c>
      <c r="K52" t="s">
        <v>63</v>
      </c>
      <c r="L52" s="1" t="b">
        <f t="shared" si="2"/>
        <v>1</v>
      </c>
      <c r="M52">
        <f>HospitalData[[#This Row],[Discharge Date]]-HospitalData[[#This Row],[Admission Date]]</f>
        <v>14</v>
      </c>
      <c r="N52" t="str">
        <f>IF(HospitalData[[#This Row],[Length of Stay]]&lt;0,"INVALID","OK")</f>
        <v>OK</v>
      </c>
      <c r="O52">
        <f>DATEDIF(HospitalData[[#This Row],[Date of Birth]],HospitalData[[#This Row],[Admission Date]],"y")</f>
        <v>87</v>
      </c>
      <c r="P52" t="str">
        <f>IF(OR(HospitalData[[#This Row],[Patient Age]]&lt;0,HospitalData[[#This Row],[Patient Age]]&gt;120),"INVALID","OK")</f>
        <v>OK</v>
      </c>
      <c r="Q52" t="str">
        <f>IF(HospitalData[[#This Row],[Patient Age]]&lt;1,"Infant",IF(HospitalData[[#This Row],[Patient Age]]&lt;13,"Child",IF(HospitalData[[#This Row],[Patient Age]]&lt;18,"Adolescent",IF(HospitalData[[#This Row],[Patient Age]]&lt;60,"Adult","Senior"))))</f>
        <v>Senior</v>
      </c>
      <c r="R52" t="str">
        <f>IF(HospitalData[[#This Row],[Length of Stay]]=0,"Same Day",IF(HospitalData[[#This Row],[Length of Stay]]&lt;=3,"1-3 Days",IF(HospitalData[[#This Row],[Length of Stay]]&lt;=7,"4-7 Days","8+ Days")))</f>
        <v>8+ Days</v>
      </c>
      <c r="S52" t="str">
        <f>IF(HospitalData[[#This Row],[Total Charges]]&lt;0,"INVALID","OK")</f>
        <v>OK</v>
      </c>
      <c r="T52">
        <f t="shared" si="1"/>
        <v>1</v>
      </c>
    </row>
    <row r="53" spans="1:20" x14ac:dyDescent="0.25">
      <c r="A53" t="s">
        <v>171</v>
      </c>
      <c r="B53" t="s">
        <v>172</v>
      </c>
      <c r="C53" s="1">
        <v>43508</v>
      </c>
      <c r="D53" t="s">
        <v>26</v>
      </c>
      <c r="E53" t="s">
        <v>80</v>
      </c>
      <c r="F53" t="s">
        <v>81</v>
      </c>
      <c r="G53" t="s">
        <v>68</v>
      </c>
      <c r="H53" s="1">
        <v>46179</v>
      </c>
      <c r="I53" s="1">
        <v>46192</v>
      </c>
      <c r="J53">
        <v>19797.21</v>
      </c>
      <c r="K53" t="s">
        <v>63</v>
      </c>
      <c r="L53" s="1" t="b">
        <f t="shared" si="2"/>
        <v>1</v>
      </c>
      <c r="M53">
        <f>HospitalData[[#This Row],[Discharge Date]]-HospitalData[[#This Row],[Admission Date]]</f>
        <v>13</v>
      </c>
      <c r="N53" t="str">
        <f>IF(HospitalData[[#This Row],[Length of Stay]]&lt;0,"INVALID","OK")</f>
        <v>OK</v>
      </c>
      <c r="O53">
        <f>DATEDIF(HospitalData[[#This Row],[Date of Birth]],HospitalData[[#This Row],[Admission Date]],"y")</f>
        <v>7</v>
      </c>
      <c r="P53" t="str">
        <f>IF(OR(HospitalData[[#This Row],[Patient Age]]&lt;0,HospitalData[[#This Row],[Patient Age]]&gt;120),"INVALID","OK")</f>
        <v>OK</v>
      </c>
      <c r="Q53" t="str">
        <f>IF(HospitalData[[#This Row],[Patient Age]]&lt;1,"Infant",IF(HospitalData[[#This Row],[Patient Age]]&lt;13,"Child",IF(HospitalData[[#This Row],[Patient Age]]&lt;18,"Adolescent",IF(HospitalData[[#This Row],[Patient Age]]&lt;60,"Adult","Senior"))))</f>
        <v>Child</v>
      </c>
      <c r="R53" t="str">
        <f>IF(HospitalData[[#This Row],[Length of Stay]]=0,"Same Day",IF(HospitalData[[#This Row],[Length of Stay]]&lt;=3,"1-3 Days",IF(HospitalData[[#This Row],[Length of Stay]]&lt;=7,"4-7 Days","8+ Days")))</f>
        <v>8+ Days</v>
      </c>
      <c r="S53" t="str">
        <f>IF(HospitalData[[#This Row],[Total Charges]]&lt;0,"INVALID","OK")</f>
        <v>OK</v>
      </c>
      <c r="T53">
        <f t="shared" si="1"/>
        <v>1</v>
      </c>
    </row>
    <row r="54" spans="1:20" x14ac:dyDescent="0.25">
      <c r="A54" t="s">
        <v>173</v>
      </c>
      <c r="B54" t="s">
        <v>174</v>
      </c>
      <c r="C54" s="1">
        <v>19077</v>
      </c>
      <c r="D54" t="s">
        <v>26</v>
      </c>
      <c r="E54" t="s">
        <v>48</v>
      </c>
      <c r="F54" t="s">
        <v>49</v>
      </c>
      <c r="G54" t="s">
        <v>115</v>
      </c>
      <c r="H54" s="1">
        <v>46176</v>
      </c>
      <c r="I54" s="1">
        <v>46179</v>
      </c>
      <c r="J54">
        <v>1803.53</v>
      </c>
      <c r="K54" t="s">
        <v>17</v>
      </c>
      <c r="L54" s="1" t="b">
        <f t="shared" si="2"/>
        <v>1</v>
      </c>
      <c r="M54">
        <f>HospitalData[[#This Row],[Discharge Date]]-HospitalData[[#This Row],[Admission Date]]</f>
        <v>3</v>
      </c>
      <c r="N54" t="str">
        <f>IF(HospitalData[[#This Row],[Length of Stay]]&lt;0,"INVALID","OK")</f>
        <v>OK</v>
      </c>
      <c r="O54">
        <f>DATEDIF(HospitalData[[#This Row],[Date of Birth]],HospitalData[[#This Row],[Admission Date]],"y")</f>
        <v>74</v>
      </c>
      <c r="P54" t="str">
        <f>IF(OR(HospitalData[[#This Row],[Patient Age]]&lt;0,HospitalData[[#This Row],[Patient Age]]&gt;120),"INVALID","OK")</f>
        <v>OK</v>
      </c>
      <c r="Q54" t="str">
        <f>IF(HospitalData[[#This Row],[Patient Age]]&lt;1,"Infant",IF(HospitalData[[#This Row],[Patient Age]]&lt;13,"Child",IF(HospitalData[[#This Row],[Patient Age]]&lt;18,"Adolescent",IF(HospitalData[[#This Row],[Patient Age]]&lt;60,"Adult","Senior"))))</f>
        <v>Senior</v>
      </c>
      <c r="R54" t="str">
        <f>IF(HospitalData[[#This Row],[Length of Stay]]=0,"Same Day",IF(HospitalData[[#This Row],[Length of Stay]]&lt;=3,"1-3 Days",IF(HospitalData[[#This Row],[Length of Stay]]&lt;=7,"4-7 Days","8+ Days")))</f>
        <v>1-3 Days</v>
      </c>
      <c r="S54" t="str">
        <f>IF(HospitalData[[#This Row],[Total Charges]]&lt;0,"INVALID","OK")</f>
        <v>OK</v>
      </c>
      <c r="T54">
        <f t="shared" si="1"/>
        <v>1</v>
      </c>
    </row>
    <row r="55" spans="1:20" x14ac:dyDescent="0.25">
      <c r="A55" t="s">
        <v>175</v>
      </c>
      <c r="B55" t="s">
        <v>176</v>
      </c>
      <c r="C55" s="1">
        <v>25563</v>
      </c>
      <c r="D55" t="s">
        <v>26</v>
      </c>
      <c r="E55" t="s">
        <v>14</v>
      </c>
      <c r="F55" t="s">
        <v>15</v>
      </c>
      <c r="G55" t="s">
        <v>52</v>
      </c>
      <c r="H55" s="1">
        <v>46171</v>
      </c>
      <c r="I55" s="1">
        <v>46179</v>
      </c>
      <c r="J55">
        <v>2692.42</v>
      </c>
      <c r="K55" t="s">
        <v>23</v>
      </c>
      <c r="L55" s="1" t="b">
        <f t="shared" si="2"/>
        <v>1</v>
      </c>
      <c r="M55">
        <f>HospitalData[[#This Row],[Discharge Date]]-HospitalData[[#This Row],[Admission Date]]</f>
        <v>8</v>
      </c>
      <c r="N55" t="str">
        <f>IF(HospitalData[[#This Row],[Length of Stay]]&lt;0,"INVALID","OK")</f>
        <v>OK</v>
      </c>
      <c r="O55">
        <f>DATEDIF(HospitalData[[#This Row],[Date of Birth]],HospitalData[[#This Row],[Admission Date]],"y")</f>
        <v>56</v>
      </c>
      <c r="P55" t="str">
        <f>IF(OR(HospitalData[[#This Row],[Patient Age]]&lt;0,HospitalData[[#This Row],[Patient Age]]&gt;120),"INVALID","OK")</f>
        <v>OK</v>
      </c>
      <c r="Q55" t="str">
        <f>IF(HospitalData[[#This Row],[Patient Age]]&lt;1,"Infant",IF(HospitalData[[#This Row],[Patient Age]]&lt;13,"Child",IF(HospitalData[[#This Row],[Patient Age]]&lt;18,"Adolescent",IF(HospitalData[[#This Row],[Patient Age]]&lt;60,"Adult","Senior"))))</f>
        <v>Adult</v>
      </c>
      <c r="R55" t="str">
        <f>IF(HospitalData[[#This Row],[Length of Stay]]=0,"Same Day",IF(HospitalData[[#This Row],[Length of Stay]]&lt;=3,"1-3 Days",IF(HospitalData[[#This Row],[Length of Stay]]&lt;=7,"4-7 Days","8+ Days")))</f>
        <v>8+ Days</v>
      </c>
      <c r="S55" t="str">
        <f>IF(HospitalData[[#This Row],[Total Charges]]&lt;0,"INVALID","OK")</f>
        <v>OK</v>
      </c>
      <c r="T55">
        <f t="shared" si="1"/>
        <v>1</v>
      </c>
    </row>
    <row r="56" spans="1:20" x14ac:dyDescent="0.25">
      <c r="A56" t="s">
        <v>177</v>
      </c>
      <c r="B56" t="s">
        <v>178</v>
      </c>
      <c r="C56" s="1">
        <v>19229</v>
      </c>
      <c r="D56" t="s">
        <v>26</v>
      </c>
      <c r="E56" t="s">
        <v>110</v>
      </c>
      <c r="F56" t="s">
        <v>111</v>
      </c>
      <c r="G56" t="s">
        <v>145</v>
      </c>
      <c r="H56" s="1">
        <v>46012</v>
      </c>
      <c r="I56" s="1">
        <v>46013</v>
      </c>
      <c r="J56">
        <v>934.59</v>
      </c>
      <c r="K56" t="s">
        <v>63</v>
      </c>
      <c r="L56" s="1" t="b">
        <f t="shared" si="2"/>
        <v>1</v>
      </c>
      <c r="M56">
        <f>HospitalData[[#This Row],[Discharge Date]]-HospitalData[[#This Row],[Admission Date]]</f>
        <v>1</v>
      </c>
      <c r="N56" t="str">
        <f>IF(HospitalData[[#This Row],[Length of Stay]]&lt;0,"INVALID","OK")</f>
        <v>OK</v>
      </c>
      <c r="O56">
        <f>DATEDIF(HospitalData[[#This Row],[Date of Birth]],HospitalData[[#This Row],[Admission Date]],"y")</f>
        <v>73</v>
      </c>
      <c r="P56" t="str">
        <f>IF(OR(HospitalData[[#This Row],[Patient Age]]&lt;0,HospitalData[[#This Row],[Patient Age]]&gt;120),"INVALID","OK")</f>
        <v>OK</v>
      </c>
      <c r="Q56" t="str">
        <f>IF(HospitalData[[#This Row],[Patient Age]]&lt;1,"Infant",IF(HospitalData[[#This Row],[Patient Age]]&lt;13,"Child",IF(HospitalData[[#This Row],[Patient Age]]&lt;18,"Adolescent",IF(HospitalData[[#This Row],[Patient Age]]&lt;60,"Adult","Senior"))))</f>
        <v>Senior</v>
      </c>
      <c r="R56" t="str">
        <f>IF(HospitalData[[#This Row],[Length of Stay]]=0,"Same Day",IF(HospitalData[[#This Row],[Length of Stay]]&lt;=3,"1-3 Days",IF(HospitalData[[#This Row],[Length of Stay]]&lt;=7,"4-7 Days","8+ Days")))</f>
        <v>1-3 Days</v>
      </c>
      <c r="S56" t="str">
        <f>IF(HospitalData[[#This Row],[Total Charges]]&lt;0,"INVALID","OK")</f>
        <v>OK</v>
      </c>
      <c r="T56">
        <f t="shared" si="1"/>
        <v>1</v>
      </c>
    </row>
    <row r="57" spans="1:20" x14ac:dyDescent="0.25">
      <c r="A57" t="s">
        <v>179</v>
      </c>
      <c r="B57" t="s">
        <v>180</v>
      </c>
      <c r="C57" s="1">
        <v>16424</v>
      </c>
      <c r="D57" t="s">
        <v>26</v>
      </c>
      <c r="E57" t="s">
        <v>14</v>
      </c>
      <c r="F57" t="s">
        <v>15</v>
      </c>
      <c r="G57" t="s">
        <v>44</v>
      </c>
      <c r="H57" s="1">
        <v>46094</v>
      </c>
      <c r="I57" s="1">
        <v>46100</v>
      </c>
      <c r="J57">
        <v>1273.5899999999999</v>
      </c>
      <c r="K57" t="s">
        <v>39</v>
      </c>
      <c r="L57" s="1" t="b">
        <f t="shared" si="2"/>
        <v>1</v>
      </c>
      <c r="M57">
        <f>HospitalData[[#This Row],[Discharge Date]]-HospitalData[[#This Row],[Admission Date]]</f>
        <v>6</v>
      </c>
      <c r="N57" t="str">
        <f>IF(HospitalData[[#This Row],[Length of Stay]]&lt;0,"INVALID","OK")</f>
        <v>OK</v>
      </c>
      <c r="O57">
        <f>DATEDIF(HospitalData[[#This Row],[Date of Birth]],HospitalData[[#This Row],[Admission Date]],"y")</f>
        <v>81</v>
      </c>
      <c r="P57" t="str">
        <f>IF(OR(HospitalData[[#This Row],[Patient Age]]&lt;0,HospitalData[[#This Row],[Patient Age]]&gt;120),"INVALID","OK")</f>
        <v>OK</v>
      </c>
      <c r="Q57" t="str">
        <f>IF(HospitalData[[#This Row],[Patient Age]]&lt;1,"Infant",IF(HospitalData[[#This Row],[Patient Age]]&lt;13,"Child",IF(HospitalData[[#This Row],[Patient Age]]&lt;18,"Adolescent",IF(HospitalData[[#This Row],[Patient Age]]&lt;60,"Adult","Senior"))))</f>
        <v>Senior</v>
      </c>
      <c r="R57" t="str">
        <f>IF(HospitalData[[#This Row],[Length of Stay]]=0,"Same Day",IF(HospitalData[[#This Row],[Length of Stay]]&lt;=3,"1-3 Days",IF(HospitalData[[#This Row],[Length of Stay]]&lt;=7,"4-7 Days","8+ Days")))</f>
        <v>4-7 Days</v>
      </c>
      <c r="S57" t="str">
        <f>IF(HospitalData[[#This Row],[Total Charges]]&lt;0,"INVALID","OK")</f>
        <v>OK</v>
      </c>
      <c r="T57">
        <f t="shared" si="1"/>
        <v>1</v>
      </c>
    </row>
    <row r="58" spans="1:20" x14ac:dyDescent="0.25">
      <c r="A58" t="s">
        <v>181</v>
      </c>
      <c r="B58" t="s">
        <v>182</v>
      </c>
      <c r="C58" s="1">
        <v>29406</v>
      </c>
      <c r="D58" t="s">
        <v>13</v>
      </c>
      <c r="E58" t="s">
        <v>32</v>
      </c>
      <c r="F58" t="s">
        <v>33</v>
      </c>
      <c r="G58" t="s">
        <v>140</v>
      </c>
      <c r="H58" s="1">
        <v>45610</v>
      </c>
      <c r="I58" s="1">
        <v>45620</v>
      </c>
      <c r="J58">
        <v>1378.6</v>
      </c>
      <c r="K58" t="s">
        <v>53</v>
      </c>
      <c r="L58" s="1" t="b">
        <f t="shared" si="2"/>
        <v>1</v>
      </c>
      <c r="M58">
        <f>HospitalData[[#This Row],[Discharge Date]]-HospitalData[[#This Row],[Admission Date]]</f>
        <v>10</v>
      </c>
      <c r="N58" t="str">
        <f>IF(HospitalData[[#This Row],[Length of Stay]]&lt;0,"INVALID","OK")</f>
        <v>OK</v>
      </c>
      <c r="O58">
        <f>DATEDIF(HospitalData[[#This Row],[Date of Birth]],HospitalData[[#This Row],[Admission Date]],"y")</f>
        <v>44</v>
      </c>
      <c r="P58" t="str">
        <f>IF(OR(HospitalData[[#This Row],[Patient Age]]&lt;0,HospitalData[[#This Row],[Patient Age]]&gt;120),"INVALID","OK")</f>
        <v>OK</v>
      </c>
      <c r="Q58" t="str">
        <f>IF(HospitalData[[#This Row],[Patient Age]]&lt;1,"Infant",IF(HospitalData[[#This Row],[Patient Age]]&lt;13,"Child",IF(HospitalData[[#This Row],[Patient Age]]&lt;18,"Adolescent",IF(HospitalData[[#This Row],[Patient Age]]&lt;60,"Adult","Senior"))))</f>
        <v>Adult</v>
      </c>
      <c r="R58" t="str">
        <f>IF(HospitalData[[#This Row],[Length of Stay]]=0,"Same Day",IF(HospitalData[[#This Row],[Length of Stay]]&lt;=3,"1-3 Days",IF(HospitalData[[#This Row],[Length of Stay]]&lt;=7,"4-7 Days","8+ Days")))</f>
        <v>8+ Days</v>
      </c>
      <c r="S58" t="str">
        <f>IF(HospitalData[[#This Row],[Total Charges]]&lt;0,"INVALID","OK")</f>
        <v>OK</v>
      </c>
      <c r="T58">
        <f t="shared" si="1"/>
        <v>1</v>
      </c>
    </row>
    <row r="59" spans="1:20" x14ac:dyDescent="0.25">
      <c r="A59" t="s">
        <v>183</v>
      </c>
      <c r="B59" t="s">
        <v>184</v>
      </c>
      <c r="C59" s="1">
        <v>40674</v>
      </c>
      <c r="D59" t="s">
        <v>13</v>
      </c>
      <c r="E59" t="s">
        <v>27</v>
      </c>
      <c r="F59" t="s">
        <v>28</v>
      </c>
      <c r="G59" t="s">
        <v>120</v>
      </c>
      <c r="H59" s="1">
        <v>45621</v>
      </c>
      <c r="I59" s="1">
        <v>45627</v>
      </c>
      <c r="J59">
        <v>47633.15</v>
      </c>
      <c r="K59" t="s">
        <v>53</v>
      </c>
      <c r="L59" s="1" t="b">
        <f t="shared" si="2"/>
        <v>1</v>
      </c>
      <c r="M59">
        <f>HospitalData[[#This Row],[Discharge Date]]-HospitalData[[#This Row],[Admission Date]]</f>
        <v>6</v>
      </c>
      <c r="N59" t="str">
        <f>IF(HospitalData[[#This Row],[Length of Stay]]&lt;0,"INVALID","OK")</f>
        <v>OK</v>
      </c>
      <c r="O59">
        <f>DATEDIF(HospitalData[[#This Row],[Date of Birth]],HospitalData[[#This Row],[Admission Date]],"y")</f>
        <v>13</v>
      </c>
      <c r="P59" t="str">
        <f>IF(OR(HospitalData[[#This Row],[Patient Age]]&lt;0,HospitalData[[#This Row],[Patient Age]]&gt;120),"INVALID","OK")</f>
        <v>OK</v>
      </c>
      <c r="Q59" t="str">
        <f>IF(HospitalData[[#This Row],[Patient Age]]&lt;1,"Infant",IF(HospitalData[[#This Row],[Patient Age]]&lt;13,"Child",IF(HospitalData[[#This Row],[Patient Age]]&lt;18,"Adolescent",IF(HospitalData[[#This Row],[Patient Age]]&lt;60,"Adult","Senior"))))</f>
        <v>Adolescent</v>
      </c>
      <c r="R59" t="str">
        <f>IF(HospitalData[[#This Row],[Length of Stay]]=0,"Same Day",IF(HospitalData[[#This Row],[Length of Stay]]&lt;=3,"1-3 Days",IF(HospitalData[[#This Row],[Length of Stay]]&lt;=7,"4-7 Days","8+ Days")))</f>
        <v>4-7 Days</v>
      </c>
      <c r="S59" t="str">
        <f>IF(HospitalData[[#This Row],[Total Charges]]&lt;0,"INVALID","OK")</f>
        <v>OK</v>
      </c>
      <c r="T59">
        <f t="shared" si="1"/>
        <v>1</v>
      </c>
    </row>
    <row r="60" spans="1:20" x14ac:dyDescent="0.25">
      <c r="A60" t="s">
        <v>185</v>
      </c>
      <c r="B60" t="s">
        <v>186</v>
      </c>
      <c r="C60" s="1">
        <v>39582</v>
      </c>
      <c r="D60" t="s">
        <v>114</v>
      </c>
      <c r="E60" t="s">
        <v>80</v>
      </c>
      <c r="F60" t="s">
        <v>81</v>
      </c>
      <c r="G60" t="s">
        <v>68</v>
      </c>
      <c r="H60" s="1">
        <v>45586</v>
      </c>
      <c r="I60" s="1">
        <v>45590</v>
      </c>
      <c r="J60">
        <v>9796.2999999999993</v>
      </c>
      <c r="K60" t="s">
        <v>69</v>
      </c>
      <c r="L60" s="1" t="b">
        <f t="shared" si="2"/>
        <v>1</v>
      </c>
      <c r="M60">
        <f>HospitalData[[#This Row],[Discharge Date]]-HospitalData[[#This Row],[Admission Date]]</f>
        <v>4</v>
      </c>
      <c r="N60" t="str">
        <f>IF(HospitalData[[#This Row],[Length of Stay]]&lt;0,"INVALID","OK")</f>
        <v>OK</v>
      </c>
      <c r="O60">
        <f>DATEDIF(HospitalData[[#This Row],[Date of Birth]],HospitalData[[#This Row],[Admission Date]],"y")</f>
        <v>16</v>
      </c>
      <c r="P60" t="str">
        <f>IF(OR(HospitalData[[#This Row],[Patient Age]]&lt;0,HospitalData[[#This Row],[Patient Age]]&gt;120),"INVALID","OK")</f>
        <v>OK</v>
      </c>
      <c r="Q60" t="str">
        <f>IF(HospitalData[[#This Row],[Patient Age]]&lt;1,"Infant",IF(HospitalData[[#This Row],[Patient Age]]&lt;13,"Child",IF(HospitalData[[#This Row],[Patient Age]]&lt;18,"Adolescent",IF(HospitalData[[#This Row],[Patient Age]]&lt;60,"Adult","Senior"))))</f>
        <v>Adolescent</v>
      </c>
      <c r="R60" t="str">
        <f>IF(HospitalData[[#This Row],[Length of Stay]]=0,"Same Day",IF(HospitalData[[#This Row],[Length of Stay]]&lt;=3,"1-3 Days",IF(HospitalData[[#This Row],[Length of Stay]]&lt;=7,"4-7 Days","8+ Days")))</f>
        <v>4-7 Days</v>
      </c>
      <c r="S60" t="str">
        <f>IF(HospitalData[[#This Row],[Total Charges]]&lt;0,"INVALID","OK")</f>
        <v>OK</v>
      </c>
      <c r="T60">
        <f t="shared" si="1"/>
        <v>1</v>
      </c>
    </row>
    <row r="61" spans="1:20" x14ac:dyDescent="0.25">
      <c r="A61" t="s">
        <v>187</v>
      </c>
      <c r="B61" t="s">
        <v>188</v>
      </c>
      <c r="C61" s="1">
        <v>36384</v>
      </c>
      <c r="D61" t="s">
        <v>26</v>
      </c>
      <c r="E61" t="s">
        <v>80</v>
      </c>
      <c r="F61" t="s">
        <v>81</v>
      </c>
      <c r="G61" t="s">
        <v>92</v>
      </c>
      <c r="H61" s="1">
        <v>45583</v>
      </c>
      <c r="I61" s="1">
        <v>45591</v>
      </c>
      <c r="J61">
        <v>19112.2</v>
      </c>
      <c r="K61" t="s">
        <v>53</v>
      </c>
      <c r="L61" s="1" t="b">
        <f t="shared" si="2"/>
        <v>1</v>
      </c>
      <c r="M61">
        <f>HospitalData[[#This Row],[Discharge Date]]-HospitalData[[#This Row],[Admission Date]]</f>
        <v>8</v>
      </c>
      <c r="N61" t="str">
        <f>IF(HospitalData[[#This Row],[Length of Stay]]&lt;0,"INVALID","OK")</f>
        <v>OK</v>
      </c>
      <c r="O61">
        <f>DATEDIF(HospitalData[[#This Row],[Date of Birth]],HospitalData[[#This Row],[Admission Date]],"y")</f>
        <v>25</v>
      </c>
      <c r="P61" t="str">
        <f>IF(OR(HospitalData[[#This Row],[Patient Age]]&lt;0,HospitalData[[#This Row],[Patient Age]]&gt;120),"INVALID","OK")</f>
        <v>OK</v>
      </c>
      <c r="Q61" t="str">
        <f>IF(HospitalData[[#This Row],[Patient Age]]&lt;1,"Infant",IF(HospitalData[[#This Row],[Patient Age]]&lt;13,"Child",IF(HospitalData[[#This Row],[Patient Age]]&lt;18,"Adolescent",IF(HospitalData[[#This Row],[Patient Age]]&lt;60,"Adult","Senior"))))</f>
        <v>Adult</v>
      </c>
      <c r="R61" t="str">
        <f>IF(HospitalData[[#This Row],[Length of Stay]]=0,"Same Day",IF(HospitalData[[#This Row],[Length of Stay]]&lt;=3,"1-3 Days",IF(HospitalData[[#This Row],[Length of Stay]]&lt;=7,"4-7 Days","8+ Days")))</f>
        <v>8+ Days</v>
      </c>
      <c r="S61" t="str">
        <f>IF(HospitalData[[#This Row],[Total Charges]]&lt;0,"INVALID","OK")</f>
        <v>OK</v>
      </c>
      <c r="T61">
        <f t="shared" si="1"/>
        <v>1</v>
      </c>
    </row>
    <row r="62" spans="1:20" x14ac:dyDescent="0.25">
      <c r="A62" t="s">
        <v>189</v>
      </c>
      <c r="B62" t="s">
        <v>190</v>
      </c>
      <c r="C62" s="1">
        <v>37536</v>
      </c>
      <c r="D62" t="s">
        <v>13</v>
      </c>
      <c r="E62" t="s">
        <v>80</v>
      </c>
      <c r="F62" t="s">
        <v>81</v>
      </c>
      <c r="G62" t="s">
        <v>29</v>
      </c>
      <c r="H62" s="1">
        <v>45987</v>
      </c>
      <c r="I62" s="1">
        <v>45999</v>
      </c>
      <c r="J62">
        <v>20134.54</v>
      </c>
      <c r="K62" t="s">
        <v>23</v>
      </c>
      <c r="L62" s="1" t="b">
        <f t="shared" si="2"/>
        <v>1</v>
      </c>
      <c r="M62">
        <f>HospitalData[[#This Row],[Discharge Date]]-HospitalData[[#This Row],[Admission Date]]</f>
        <v>12</v>
      </c>
      <c r="N62" t="str">
        <f>IF(HospitalData[[#This Row],[Length of Stay]]&lt;0,"INVALID","OK")</f>
        <v>OK</v>
      </c>
      <c r="O62">
        <f>DATEDIF(HospitalData[[#This Row],[Date of Birth]],HospitalData[[#This Row],[Admission Date]],"y")</f>
        <v>23</v>
      </c>
      <c r="P62" t="str">
        <f>IF(OR(HospitalData[[#This Row],[Patient Age]]&lt;0,HospitalData[[#This Row],[Patient Age]]&gt;120),"INVALID","OK")</f>
        <v>OK</v>
      </c>
      <c r="Q62" t="str">
        <f>IF(HospitalData[[#This Row],[Patient Age]]&lt;1,"Infant",IF(HospitalData[[#This Row],[Patient Age]]&lt;13,"Child",IF(HospitalData[[#This Row],[Patient Age]]&lt;18,"Adolescent",IF(HospitalData[[#This Row],[Patient Age]]&lt;60,"Adult","Senior"))))</f>
        <v>Adult</v>
      </c>
      <c r="R62" t="str">
        <f>IF(HospitalData[[#This Row],[Length of Stay]]=0,"Same Day",IF(HospitalData[[#This Row],[Length of Stay]]&lt;=3,"1-3 Days",IF(HospitalData[[#This Row],[Length of Stay]]&lt;=7,"4-7 Days","8+ Days")))</f>
        <v>8+ Days</v>
      </c>
      <c r="S62" t="str">
        <f>IF(HospitalData[[#This Row],[Total Charges]]&lt;0,"INVALID","OK")</f>
        <v>OK</v>
      </c>
      <c r="T62">
        <f t="shared" si="1"/>
        <v>1</v>
      </c>
    </row>
    <row r="63" spans="1:20" x14ac:dyDescent="0.25">
      <c r="A63" t="s">
        <v>191</v>
      </c>
      <c r="B63" t="s">
        <v>192</v>
      </c>
      <c r="C63" s="1">
        <v>41106</v>
      </c>
      <c r="D63" t="s">
        <v>26</v>
      </c>
      <c r="E63" t="s">
        <v>110</v>
      </c>
      <c r="F63" t="s">
        <v>111</v>
      </c>
      <c r="G63" t="s">
        <v>159</v>
      </c>
      <c r="H63" s="1">
        <v>45625</v>
      </c>
      <c r="I63" s="1">
        <v>45628</v>
      </c>
      <c r="J63">
        <v>2487.2199999999998</v>
      </c>
      <c r="K63" t="s">
        <v>23</v>
      </c>
      <c r="L63" s="1" t="b">
        <f t="shared" si="2"/>
        <v>1</v>
      </c>
      <c r="M63">
        <f>HospitalData[[#This Row],[Discharge Date]]-HospitalData[[#This Row],[Admission Date]]</f>
        <v>3</v>
      </c>
      <c r="N63" t="str">
        <f>IF(HospitalData[[#This Row],[Length of Stay]]&lt;0,"INVALID","OK")</f>
        <v>OK</v>
      </c>
      <c r="O63">
        <f>DATEDIF(HospitalData[[#This Row],[Date of Birth]],HospitalData[[#This Row],[Admission Date]],"y")</f>
        <v>12</v>
      </c>
      <c r="P63" t="str">
        <f>IF(OR(HospitalData[[#This Row],[Patient Age]]&lt;0,HospitalData[[#This Row],[Patient Age]]&gt;120),"INVALID","OK")</f>
        <v>OK</v>
      </c>
      <c r="Q63" t="str">
        <f>IF(HospitalData[[#This Row],[Patient Age]]&lt;1,"Infant",IF(HospitalData[[#This Row],[Patient Age]]&lt;13,"Child",IF(HospitalData[[#This Row],[Patient Age]]&lt;18,"Adolescent",IF(HospitalData[[#This Row],[Patient Age]]&lt;60,"Adult","Senior"))))</f>
        <v>Child</v>
      </c>
      <c r="R63" t="str">
        <f>IF(HospitalData[[#This Row],[Length of Stay]]=0,"Same Day",IF(HospitalData[[#This Row],[Length of Stay]]&lt;=3,"1-3 Days",IF(HospitalData[[#This Row],[Length of Stay]]&lt;=7,"4-7 Days","8+ Days")))</f>
        <v>1-3 Days</v>
      </c>
      <c r="S63" t="str">
        <f>IF(HospitalData[[#This Row],[Total Charges]]&lt;0,"INVALID","OK")</f>
        <v>OK</v>
      </c>
      <c r="T63">
        <f t="shared" si="1"/>
        <v>1</v>
      </c>
    </row>
    <row r="64" spans="1:20" x14ac:dyDescent="0.25">
      <c r="A64" t="s">
        <v>193</v>
      </c>
      <c r="B64" t="s">
        <v>194</v>
      </c>
      <c r="C64" s="1">
        <v>37306</v>
      </c>
      <c r="D64" t="s">
        <v>26</v>
      </c>
      <c r="E64" t="s">
        <v>110</v>
      </c>
      <c r="F64" t="s">
        <v>111</v>
      </c>
      <c r="G64" t="s">
        <v>29</v>
      </c>
      <c r="H64" s="1">
        <v>45893</v>
      </c>
      <c r="I64" s="1">
        <v>45903</v>
      </c>
      <c r="J64">
        <v>947.6</v>
      </c>
      <c r="K64" t="s">
        <v>69</v>
      </c>
      <c r="L64" s="1" t="b">
        <f t="shared" si="2"/>
        <v>1</v>
      </c>
      <c r="M64">
        <f>HospitalData[[#This Row],[Discharge Date]]-HospitalData[[#This Row],[Admission Date]]</f>
        <v>10</v>
      </c>
      <c r="N64" t="str">
        <f>IF(HospitalData[[#This Row],[Length of Stay]]&lt;0,"INVALID","OK")</f>
        <v>OK</v>
      </c>
      <c r="O64">
        <f>DATEDIF(HospitalData[[#This Row],[Date of Birth]],HospitalData[[#This Row],[Admission Date]],"y")</f>
        <v>23</v>
      </c>
      <c r="P64" t="str">
        <f>IF(OR(HospitalData[[#This Row],[Patient Age]]&lt;0,HospitalData[[#This Row],[Patient Age]]&gt;120),"INVALID","OK")</f>
        <v>OK</v>
      </c>
      <c r="Q64" t="str">
        <f>IF(HospitalData[[#This Row],[Patient Age]]&lt;1,"Infant",IF(HospitalData[[#This Row],[Patient Age]]&lt;13,"Child",IF(HospitalData[[#This Row],[Patient Age]]&lt;18,"Adolescent",IF(HospitalData[[#This Row],[Patient Age]]&lt;60,"Adult","Senior"))))</f>
        <v>Adult</v>
      </c>
      <c r="R64" t="str">
        <f>IF(HospitalData[[#This Row],[Length of Stay]]=0,"Same Day",IF(HospitalData[[#This Row],[Length of Stay]]&lt;=3,"1-3 Days",IF(HospitalData[[#This Row],[Length of Stay]]&lt;=7,"4-7 Days","8+ Days")))</f>
        <v>8+ Days</v>
      </c>
      <c r="S64" t="str">
        <f>IF(HospitalData[[#This Row],[Total Charges]]&lt;0,"INVALID","OK")</f>
        <v>OK</v>
      </c>
      <c r="T64">
        <f t="shared" si="1"/>
        <v>1</v>
      </c>
    </row>
    <row r="65" spans="1:20" x14ac:dyDescent="0.25">
      <c r="A65" t="s">
        <v>195</v>
      </c>
      <c r="B65" t="s">
        <v>196</v>
      </c>
      <c r="C65" s="1">
        <v>36090</v>
      </c>
      <c r="D65" t="s">
        <v>13</v>
      </c>
      <c r="E65" t="s">
        <v>58</v>
      </c>
      <c r="F65" t="s">
        <v>59</v>
      </c>
      <c r="G65" t="s">
        <v>22</v>
      </c>
      <c r="H65" s="1">
        <v>46101</v>
      </c>
      <c r="I65" s="1">
        <v>46109</v>
      </c>
      <c r="J65">
        <v>907.44</v>
      </c>
      <c r="K65" t="s">
        <v>45</v>
      </c>
      <c r="L65" s="1" t="b">
        <f t="shared" si="2"/>
        <v>1</v>
      </c>
      <c r="M65">
        <f>HospitalData[[#This Row],[Discharge Date]]-HospitalData[[#This Row],[Admission Date]]</f>
        <v>8</v>
      </c>
      <c r="N65" t="str">
        <f>IF(HospitalData[[#This Row],[Length of Stay]]&lt;0,"INVALID","OK")</f>
        <v>OK</v>
      </c>
      <c r="O65">
        <f>DATEDIF(HospitalData[[#This Row],[Date of Birth]],HospitalData[[#This Row],[Admission Date]],"y")</f>
        <v>27</v>
      </c>
      <c r="P65" t="str">
        <f>IF(OR(HospitalData[[#This Row],[Patient Age]]&lt;0,HospitalData[[#This Row],[Patient Age]]&gt;120),"INVALID","OK")</f>
        <v>OK</v>
      </c>
      <c r="Q65" t="str">
        <f>IF(HospitalData[[#This Row],[Patient Age]]&lt;1,"Infant",IF(HospitalData[[#This Row],[Patient Age]]&lt;13,"Child",IF(HospitalData[[#This Row],[Patient Age]]&lt;18,"Adolescent",IF(HospitalData[[#This Row],[Patient Age]]&lt;60,"Adult","Senior"))))</f>
        <v>Adult</v>
      </c>
      <c r="R65" t="str">
        <f>IF(HospitalData[[#This Row],[Length of Stay]]=0,"Same Day",IF(HospitalData[[#This Row],[Length of Stay]]&lt;=3,"1-3 Days",IF(HospitalData[[#This Row],[Length of Stay]]&lt;=7,"4-7 Days","8+ Days")))</f>
        <v>8+ Days</v>
      </c>
      <c r="S65" t="str">
        <f>IF(HospitalData[[#This Row],[Total Charges]]&lt;0,"INVALID","OK")</f>
        <v>OK</v>
      </c>
      <c r="T65">
        <f t="shared" si="1"/>
        <v>1</v>
      </c>
    </row>
    <row r="66" spans="1:20" x14ac:dyDescent="0.25">
      <c r="A66" t="s">
        <v>197</v>
      </c>
      <c r="B66" t="s">
        <v>198</v>
      </c>
      <c r="C66" s="1">
        <v>21239</v>
      </c>
      <c r="D66" t="s">
        <v>26</v>
      </c>
      <c r="E66" t="s">
        <v>27</v>
      </c>
      <c r="F66" t="s">
        <v>28</v>
      </c>
      <c r="G66" t="s">
        <v>115</v>
      </c>
      <c r="H66" s="1">
        <v>45878</v>
      </c>
      <c r="I66" s="1">
        <v>45888</v>
      </c>
      <c r="J66">
        <v>30608.400000000001</v>
      </c>
      <c r="K66" t="s">
        <v>17</v>
      </c>
      <c r="L66" s="1" t="b">
        <f t="shared" ref="L66:L101" si="3">AND(ISNUMBER(C:C),ISNUMBER(H:H),ISNUMBER(I:I))</f>
        <v>1</v>
      </c>
      <c r="M66">
        <f>HospitalData[[#This Row],[Discharge Date]]-HospitalData[[#This Row],[Admission Date]]</f>
        <v>10</v>
      </c>
      <c r="N66" t="str">
        <f>IF(HospitalData[[#This Row],[Length of Stay]]&lt;0,"INVALID","OK")</f>
        <v>OK</v>
      </c>
      <c r="O66">
        <f>DATEDIF(HospitalData[[#This Row],[Date of Birth]],HospitalData[[#This Row],[Admission Date]],"y")</f>
        <v>67</v>
      </c>
      <c r="P66" t="str">
        <f>IF(OR(HospitalData[[#This Row],[Patient Age]]&lt;0,HospitalData[[#This Row],[Patient Age]]&gt;120),"INVALID","OK")</f>
        <v>OK</v>
      </c>
      <c r="Q66" t="str">
        <f>IF(HospitalData[[#This Row],[Patient Age]]&lt;1,"Infant",IF(HospitalData[[#This Row],[Patient Age]]&lt;13,"Child",IF(HospitalData[[#This Row],[Patient Age]]&lt;18,"Adolescent",IF(HospitalData[[#This Row],[Patient Age]]&lt;60,"Adult","Senior"))))</f>
        <v>Senior</v>
      </c>
      <c r="R66" t="str">
        <f>IF(HospitalData[[#This Row],[Length of Stay]]=0,"Same Day",IF(HospitalData[[#This Row],[Length of Stay]]&lt;=3,"1-3 Days",IF(HospitalData[[#This Row],[Length of Stay]]&lt;=7,"4-7 Days","8+ Days")))</f>
        <v>8+ Days</v>
      </c>
      <c r="S66" t="str">
        <f>IF(HospitalData[[#This Row],[Total Charges]]&lt;0,"INVALID","OK")</f>
        <v>OK</v>
      </c>
      <c r="T66">
        <f t="shared" si="1"/>
        <v>1</v>
      </c>
    </row>
    <row r="67" spans="1:20" x14ac:dyDescent="0.25">
      <c r="A67" t="s">
        <v>199</v>
      </c>
      <c r="B67" t="s">
        <v>200</v>
      </c>
      <c r="C67" s="1">
        <v>40593</v>
      </c>
      <c r="D67" t="s">
        <v>13</v>
      </c>
      <c r="E67" t="s">
        <v>80</v>
      </c>
      <c r="F67" t="s">
        <v>81</v>
      </c>
      <c r="G67" t="s">
        <v>129</v>
      </c>
      <c r="H67" s="1">
        <v>46243</v>
      </c>
      <c r="I67" s="1">
        <v>46250</v>
      </c>
      <c r="J67">
        <v>11956.12</v>
      </c>
      <c r="K67" t="s">
        <v>45</v>
      </c>
      <c r="L67" s="1" t="b">
        <f t="shared" si="3"/>
        <v>1</v>
      </c>
      <c r="M67">
        <f>HospitalData[[#This Row],[Discharge Date]]-HospitalData[[#This Row],[Admission Date]]</f>
        <v>7</v>
      </c>
      <c r="N67" t="str">
        <f>IF(HospitalData[[#This Row],[Length of Stay]]&lt;0,"INVALID","OK")</f>
        <v>OK</v>
      </c>
      <c r="O67">
        <f>DATEDIF(HospitalData[[#This Row],[Date of Birth]],HospitalData[[#This Row],[Admission Date]],"y")</f>
        <v>15</v>
      </c>
      <c r="P67" t="str">
        <f>IF(OR(HospitalData[[#This Row],[Patient Age]]&lt;0,HospitalData[[#This Row],[Patient Age]]&gt;120),"INVALID","OK")</f>
        <v>OK</v>
      </c>
      <c r="Q67" t="str">
        <f>IF(HospitalData[[#This Row],[Patient Age]]&lt;1,"Infant",IF(HospitalData[[#This Row],[Patient Age]]&lt;13,"Child",IF(HospitalData[[#This Row],[Patient Age]]&lt;18,"Adolescent",IF(HospitalData[[#This Row],[Patient Age]]&lt;60,"Adult","Senior"))))</f>
        <v>Adolescent</v>
      </c>
      <c r="R67" t="str">
        <f>IF(HospitalData[[#This Row],[Length of Stay]]=0,"Same Day",IF(HospitalData[[#This Row],[Length of Stay]]&lt;=3,"1-3 Days",IF(HospitalData[[#This Row],[Length of Stay]]&lt;=7,"4-7 Days","8+ Days")))</f>
        <v>4-7 Days</v>
      </c>
      <c r="S67" t="str">
        <f>IF(HospitalData[[#This Row],[Total Charges]]&lt;0,"INVALID","OK")</f>
        <v>OK</v>
      </c>
      <c r="T67">
        <f t="shared" ref="T67:T101" si="4">COUNTIF($A:$A,A67)</f>
        <v>1</v>
      </c>
    </row>
    <row r="68" spans="1:20" x14ac:dyDescent="0.25">
      <c r="A68" t="s">
        <v>201</v>
      </c>
      <c r="B68" t="s">
        <v>202</v>
      </c>
      <c r="C68" s="1">
        <v>38131</v>
      </c>
      <c r="D68" t="s">
        <v>13</v>
      </c>
      <c r="E68" t="s">
        <v>66</v>
      </c>
      <c r="F68" t="s">
        <v>67</v>
      </c>
      <c r="G68" t="s">
        <v>44</v>
      </c>
      <c r="H68" s="1">
        <v>45839</v>
      </c>
      <c r="I68" s="1">
        <v>45850</v>
      </c>
      <c r="J68">
        <v>1163.3800000000001</v>
      </c>
      <c r="K68" t="s">
        <v>23</v>
      </c>
      <c r="L68" s="1" t="b">
        <f t="shared" si="3"/>
        <v>1</v>
      </c>
      <c r="M68">
        <f>HospitalData[[#This Row],[Discharge Date]]-HospitalData[[#This Row],[Admission Date]]</f>
        <v>11</v>
      </c>
      <c r="N68" t="str">
        <f>IF(HospitalData[[#This Row],[Length of Stay]]&lt;0,"INVALID","OK")</f>
        <v>OK</v>
      </c>
      <c r="O68">
        <f>DATEDIF(HospitalData[[#This Row],[Date of Birth]],HospitalData[[#This Row],[Admission Date]],"y")</f>
        <v>21</v>
      </c>
      <c r="P68" t="str">
        <f>IF(OR(HospitalData[[#This Row],[Patient Age]]&lt;0,HospitalData[[#This Row],[Patient Age]]&gt;120),"INVALID","OK")</f>
        <v>OK</v>
      </c>
      <c r="Q68" t="str">
        <f>IF(HospitalData[[#This Row],[Patient Age]]&lt;1,"Infant",IF(HospitalData[[#This Row],[Patient Age]]&lt;13,"Child",IF(HospitalData[[#This Row],[Patient Age]]&lt;18,"Adolescent",IF(HospitalData[[#This Row],[Patient Age]]&lt;60,"Adult","Senior"))))</f>
        <v>Adult</v>
      </c>
      <c r="R68" t="str">
        <f>IF(HospitalData[[#This Row],[Length of Stay]]=0,"Same Day",IF(HospitalData[[#This Row],[Length of Stay]]&lt;=3,"1-3 Days",IF(HospitalData[[#This Row],[Length of Stay]]&lt;=7,"4-7 Days","8+ Days")))</f>
        <v>8+ Days</v>
      </c>
      <c r="S68" t="str">
        <f>IF(HospitalData[[#This Row],[Total Charges]]&lt;0,"INVALID","OK")</f>
        <v>OK</v>
      </c>
      <c r="T68">
        <f t="shared" si="4"/>
        <v>1</v>
      </c>
    </row>
    <row r="69" spans="1:20" x14ac:dyDescent="0.25">
      <c r="A69" t="s">
        <v>203</v>
      </c>
      <c r="B69" t="s">
        <v>204</v>
      </c>
      <c r="C69" s="1">
        <v>37816</v>
      </c>
      <c r="D69" t="s">
        <v>13</v>
      </c>
      <c r="E69" t="s">
        <v>27</v>
      </c>
      <c r="F69" t="s">
        <v>28</v>
      </c>
      <c r="G69" t="s">
        <v>29</v>
      </c>
      <c r="H69" s="1">
        <v>45859</v>
      </c>
      <c r="I69" s="1">
        <v>45863</v>
      </c>
      <c r="J69">
        <v>39680.959999999999</v>
      </c>
      <c r="K69" t="s">
        <v>53</v>
      </c>
      <c r="L69" s="1" t="b">
        <f t="shared" si="3"/>
        <v>1</v>
      </c>
      <c r="M69">
        <f>HospitalData[[#This Row],[Discharge Date]]-HospitalData[[#This Row],[Admission Date]]</f>
        <v>4</v>
      </c>
      <c r="N69" t="str">
        <f>IF(HospitalData[[#This Row],[Length of Stay]]&lt;0,"INVALID","OK")</f>
        <v>OK</v>
      </c>
      <c r="O69">
        <f>DATEDIF(HospitalData[[#This Row],[Date of Birth]],HospitalData[[#This Row],[Admission Date]],"y")</f>
        <v>22</v>
      </c>
      <c r="P69" t="str">
        <f>IF(OR(HospitalData[[#This Row],[Patient Age]]&lt;0,HospitalData[[#This Row],[Patient Age]]&gt;120),"INVALID","OK")</f>
        <v>OK</v>
      </c>
      <c r="Q69" t="str">
        <f>IF(HospitalData[[#This Row],[Patient Age]]&lt;1,"Infant",IF(HospitalData[[#This Row],[Patient Age]]&lt;13,"Child",IF(HospitalData[[#This Row],[Patient Age]]&lt;18,"Adolescent",IF(HospitalData[[#This Row],[Patient Age]]&lt;60,"Adult","Senior"))))</f>
        <v>Adult</v>
      </c>
      <c r="R69" t="str">
        <f>IF(HospitalData[[#This Row],[Length of Stay]]=0,"Same Day",IF(HospitalData[[#This Row],[Length of Stay]]&lt;=3,"1-3 Days",IF(HospitalData[[#This Row],[Length of Stay]]&lt;=7,"4-7 Days","8+ Days")))</f>
        <v>4-7 Days</v>
      </c>
      <c r="S69" t="str">
        <f>IF(HospitalData[[#This Row],[Total Charges]]&lt;0,"INVALID","OK")</f>
        <v>OK</v>
      </c>
      <c r="T69">
        <f t="shared" si="4"/>
        <v>1</v>
      </c>
    </row>
    <row r="70" spans="1:20" x14ac:dyDescent="0.25">
      <c r="A70" t="s">
        <v>205</v>
      </c>
      <c r="B70" t="s">
        <v>206</v>
      </c>
      <c r="C70" s="1">
        <v>41528</v>
      </c>
      <c r="D70" t="s">
        <v>13</v>
      </c>
      <c r="E70" t="s">
        <v>42</v>
      </c>
      <c r="F70" t="s">
        <v>43</v>
      </c>
      <c r="G70" t="s">
        <v>52</v>
      </c>
      <c r="H70" s="1">
        <v>45895</v>
      </c>
      <c r="I70" s="1">
        <v>45899</v>
      </c>
      <c r="J70">
        <v>10668.76</v>
      </c>
      <c r="K70" t="s">
        <v>69</v>
      </c>
      <c r="L70" s="1" t="b">
        <f t="shared" si="3"/>
        <v>1</v>
      </c>
      <c r="M70">
        <f>HospitalData[[#This Row],[Discharge Date]]-HospitalData[[#This Row],[Admission Date]]</f>
        <v>4</v>
      </c>
      <c r="N70" t="str">
        <f>IF(HospitalData[[#This Row],[Length of Stay]]&lt;0,"INVALID","OK")</f>
        <v>OK</v>
      </c>
      <c r="O70">
        <f>DATEDIF(HospitalData[[#This Row],[Date of Birth]],HospitalData[[#This Row],[Admission Date]],"y")</f>
        <v>11</v>
      </c>
      <c r="P70" t="str">
        <f>IF(OR(HospitalData[[#This Row],[Patient Age]]&lt;0,HospitalData[[#This Row],[Patient Age]]&gt;120),"INVALID","OK")</f>
        <v>OK</v>
      </c>
      <c r="Q70" t="str">
        <f>IF(HospitalData[[#This Row],[Patient Age]]&lt;1,"Infant",IF(HospitalData[[#This Row],[Patient Age]]&lt;13,"Child",IF(HospitalData[[#This Row],[Patient Age]]&lt;18,"Adolescent",IF(HospitalData[[#This Row],[Patient Age]]&lt;60,"Adult","Senior"))))</f>
        <v>Child</v>
      </c>
      <c r="R70" t="str">
        <f>IF(HospitalData[[#This Row],[Length of Stay]]=0,"Same Day",IF(HospitalData[[#This Row],[Length of Stay]]&lt;=3,"1-3 Days",IF(HospitalData[[#This Row],[Length of Stay]]&lt;=7,"4-7 Days","8+ Days")))</f>
        <v>4-7 Days</v>
      </c>
      <c r="S70" t="str">
        <f>IF(HospitalData[[#This Row],[Total Charges]]&lt;0,"INVALID","OK")</f>
        <v>OK</v>
      </c>
      <c r="T70">
        <f t="shared" si="4"/>
        <v>1</v>
      </c>
    </row>
    <row r="71" spans="1:20" x14ac:dyDescent="0.25">
      <c r="A71" t="s">
        <v>207</v>
      </c>
      <c r="B71" t="s">
        <v>208</v>
      </c>
      <c r="C71" s="1">
        <v>22649</v>
      </c>
      <c r="D71" t="s">
        <v>13</v>
      </c>
      <c r="E71" t="s">
        <v>110</v>
      </c>
      <c r="F71" t="s">
        <v>111</v>
      </c>
      <c r="G71" t="s">
        <v>107</v>
      </c>
      <c r="H71" s="1">
        <v>46281</v>
      </c>
      <c r="I71" s="1">
        <v>46284</v>
      </c>
      <c r="J71">
        <v>2398.75</v>
      </c>
      <c r="K71" t="s">
        <v>69</v>
      </c>
      <c r="L71" s="1" t="b">
        <f t="shared" si="3"/>
        <v>1</v>
      </c>
      <c r="M71">
        <f>HospitalData[[#This Row],[Discharge Date]]-HospitalData[[#This Row],[Admission Date]]</f>
        <v>3</v>
      </c>
      <c r="N71" t="str">
        <f>IF(HospitalData[[#This Row],[Length of Stay]]&lt;0,"INVALID","OK")</f>
        <v>OK</v>
      </c>
      <c r="O71">
        <f>DATEDIF(HospitalData[[#This Row],[Date of Birth]],HospitalData[[#This Row],[Admission Date]],"y")</f>
        <v>64</v>
      </c>
      <c r="P71" t="str">
        <f>IF(OR(HospitalData[[#This Row],[Patient Age]]&lt;0,HospitalData[[#This Row],[Patient Age]]&gt;120),"INVALID","OK")</f>
        <v>OK</v>
      </c>
      <c r="Q71" t="str">
        <f>IF(HospitalData[[#This Row],[Patient Age]]&lt;1,"Infant",IF(HospitalData[[#This Row],[Patient Age]]&lt;13,"Child",IF(HospitalData[[#This Row],[Patient Age]]&lt;18,"Adolescent",IF(HospitalData[[#This Row],[Patient Age]]&lt;60,"Adult","Senior"))))</f>
        <v>Senior</v>
      </c>
      <c r="R71" t="str">
        <f>IF(HospitalData[[#This Row],[Length of Stay]]=0,"Same Day",IF(HospitalData[[#This Row],[Length of Stay]]&lt;=3,"1-3 Days",IF(HospitalData[[#This Row],[Length of Stay]]&lt;=7,"4-7 Days","8+ Days")))</f>
        <v>1-3 Days</v>
      </c>
      <c r="S71" t="str">
        <f>IF(HospitalData[[#This Row],[Total Charges]]&lt;0,"INVALID","OK")</f>
        <v>OK</v>
      </c>
      <c r="T71">
        <f t="shared" si="4"/>
        <v>1</v>
      </c>
    </row>
    <row r="72" spans="1:20" x14ac:dyDescent="0.25">
      <c r="A72" t="s">
        <v>209</v>
      </c>
      <c r="B72" t="s">
        <v>210</v>
      </c>
      <c r="C72" s="1">
        <v>13531</v>
      </c>
      <c r="D72" t="s">
        <v>13</v>
      </c>
      <c r="E72" t="s">
        <v>32</v>
      </c>
      <c r="F72" t="s">
        <v>33</v>
      </c>
      <c r="G72" t="s">
        <v>44</v>
      </c>
      <c r="H72" s="1">
        <v>45781</v>
      </c>
      <c r="I72" s="1">
        <v>45785</v>
      </c>
      <c r="J72">
        <v>2332.8200000000002</v>
      </c>
      <c r="K72" t="s">
        <v>63</v>
      </c>
      <c r="L72" s="1" t="b">
        <f t="shared" si="3"/>
        <v>1</v>
      </c>
      <c r="M72">
        <f>HospitalData[[#This Row],[Discharge Date]]-HospitalData[[#This Row],[Admission Date]]</f>
        <v>4</v>
      </c>
      <c r="N72" t="str">
        <f>IF(HospitalData[[#This Row],[Length of Stay]]&lt;0,"INVALID","OK")</f>
        <v>OK</v>
      </c>
      <c r="O72">
        <f>DATEDIF(HospitalData[[#This Row],[Date of Birth]],HospitalData[[#This Row],[Admission Date]],"y")</f>
        <v>88</v>
      </c>
      <c r="P72" t="str">
        <f>IF(OR(HospitalData[[#This Row],[Patient Age]]&lt;0,HospitalData[[#This Row],[Patient Age]]&gt;120),"INVALID","OK")</f>
        <v>OK</v>
      </c>
      <c r="Q72" t="str">
        <f>IF(HospitalData[[#This Row],[Patient Age]]&lt;1,"Infant",IF(HospitalData[[#This Row],[Patient Age]]&lt;13,"Child",IF(HospitalData[[#This Row],[Patient Age]]&lt;18,"Adolescent",IF(HospitalData[[#This Row],[Patient Age]]&lt;60,"Adult","Senior"))))</f>
        <v>Senior</v>
      </c>
      <c r="R72" t="str">
        <f>IF(HospitalData[[#This Row],[Length of Stay]]=0,"Same Day",IF(HospitalData[[#This Row],[Length of Stay]]&lt;=3,"1-3 Days",IF(HospitalData[[#This Row],[Length of Stay]]&lt;=7,"4-7 Days","8+ Days")))</f>
        <v>4-7 Days</v>
      </c>
      <c r="S72" t="str">
        <f>IF(HospitalData[[#This Row],[Total Charges]]&lt;0,"INVALID","OK")</f>
        <v>OK</v>
      </c>
      <c r="T72">
        <f t="shared" si="4"/>
        <v>1</v>
      </c>
    </row>
    <row r="73" spans="1:20" x14ac:dyDescent="0.25">
      <c r="A73" t="s">
        <v>211</v>
      </c>
      <c r="B73" t="s">
        <v>41</v>
      </c>
      <c r="C73" s="1">
        <v>45792</v>
      </c>
      <c r="D73" t="s">
        <v>13</v>
      </c>
      <c r="E73" t="s">
        <v>97</v>
      </c>
      <c r="F73" t="s">
        <v>98</v>
      </c>
      <c r="G73" t="s">
        <v>68</v>
      </c>
      <c r="H73" s="1">
        <v>45924</v>
      </c>
      <c r="I73" s="1">
        <v>45934</v>
      </c>
      <c r="J73">
        <v>1493.51</v>
      </c>
      <c r="K73" t="s">
        <v>39</v>
      </c>
      <c r="L73" s="1" t="b">
        <f t="shared" si="3"/>
        <v>1</v>
      </c>
      <c r="M73">
        <f>HospitalData[[#This Row],[Discharge Date]]-HospitalData[[#This Row],[Admission Date]]</f>
        <v>10</v>
      </c>
      <c r="N73" t="str">
        <f>IF(HospitalData[[#This Row],[Length of Stay]]&lt;0,"INVALID","OK")</f>
        <v>OK</v>
      </c>
      <c r="O73">
        <f>DATEDIF(HospitalData[[#This Row],[Date of Birth]],HospitalData[[#This Row],[Admission Date]],"y")</f>
        <v>0</v>
      </c>
      <c r="P73" t="str">
        <f>IF(OR(HospitalData[[#This Row],[Patient Age]]&lt;0,HospitalData[[#This Row],[Patient Age]]&gt;120),"INVALID","OK")</f>
        <v>OK</v>
      </c>
      <c r="Q73" t="str">
        <f>IF(HospitalData[[#This Row],[Patient Age]]&lt;1,"Infant",IF(HospitalData[[#This Row],[Patient Age]]&lt;13,"Child",IF(HospitalData[[#This Row],[Patient Age]]&lt;18,"Adolescent",IF(HospitalData[[#This Row],[Patient Age]]&lt;60,"Adult","Senior"))))</f>
        <v>Infant</v>
      </c>
      <c r="R73" t="str">
        <f>IF(HospitalData[[#This Row],[Length of Stay]]=0,"Same Day",IF(HospitalData[[#This Row],[Length of Stay]]&lt;=3,"1-3 Days",IF(HospitalData[[#This Row],[Length of Stay]]&lt;=7,"4-7 Days","8+ Days")))</f>
        <v>8+ Days</v>
      </c>
      <c r="S73" t="str">
        <f>IF(HospitalData[[#This Row],[Total Charges]]&lt;0,"INVALID","OK")</f>
        <v>OK</v>
      </c>
      <c r="T73">
        <f t="shared" si="4"/>
        <v>1</v>
      </c>
    </row>
    <row r="74" spans="1:20" x14ac:dyDescent="0.25">
      <c r="A74" t="s">
        <v>212</v>
      </c>
      <c r="B74" t="s">
        <v>213</v>
      </c>
      <c r="C74" s="1">
        <v>14636</v>
      </c>
      <c r="D74" t="s">
        <v>26</v>
      </c>
      <c r="E74" t="s">
        <v>66</v>
      </c>
      <c r="F74" t="s">
        <v>67</v>
      </c>
      <c r="G74" t="s">
        <v>140</v>
      </c>
      <c r="H74" s="1">
        <v>46151</v>
      </c>
      <c r="I74" s="1">
        <v>46162</v>
      </c>
      <c r="J74">
        <v>745.67</v>
      </c>
      <c r="K74" t="s">
        <v>53</v>
      </c>
      <c r="L74" s="1" t="b">
        <f t="shared" si="3"/>
        <v>1</v>
      </c>
      <c r="M74">
        <f>HospitalData[[#This Row],[Discharge Date]]-HospitalData[[#This Row],[Admission Date]]</f>
        <v>11</v>
      </c>
      <c r="N74" t="str">
        <f>IF(HospitalData[[#This Row],[Length of Stay]]&lt;0,"INVALID","OK")</f>
        <v>OK</v>
      </c>
      <c r="O74">
        <f>DATEDIF(HospitalData[[#This Row],[Date of Birth]],HospitalData[[#This Row],[Admission Date]],"y")</f>
        <v>86</v>
      </c>
      <c r="P74" t="str">
        <f>IF(OR(HospitalData[[#This Row],[Patient Age]]&lt;0,HospitalData[[#This Row],[Patient Age]]&gt;120),"INVALID","OK")</f>
        <v>OK</v>
      </c>
      <c r="Q74" t="str">
        <f>IF(HospitalData[[#This Row],[Patient Age]]&lt;1,"Infant",IF(HospitalData[[#This Row],[Patient Age]]&lt;13,"Child",IF(HospitalData[[#This Row],[Patient Age]]&lt;18,"Adolescent",IF(HospitalData[[#This Row],[Patient Age]]&lt;60,"Adult","Senior"))))</f>
        <v>Senior</v>
      </c>
      <c r="R74" t="str">
        <f>IF(HospitalData[[#This Row],[Length of Stay]]=0,"Same Day",IF(HospitalData[[#This Row],[Length of Stay]]&lt;=3,"1-3 Days",IF(HospitalData[[#This Row],[Length of Stay]]&lt;=7,"4-7 Days","8+ Days")))</f>
        <v>8+ Days</v>
      </c>
      <c r="S74" t="str">
        <f>IF(HospitalData[[#This Row],[Total Charges]]&lt;0,"INVALID","OK")</f>
        <v>OK</v>
      </c>
      <c r="T74">
        <f t="shared" si="4"/>
        <v>1</v>
      </c>
    </row>
    <row r="75" spans="1:20" x14ac:dyDescent="0.25">
      <c r="A75" t="s">
        <v>214</v>
      </c>
      <c r="B75" t="s">
        <v>215</v>
      </c>
      <c r="C75" s="1">
        <v>44556</v>
      </c>
      <c r="D75" t="s">
        <v>26</v>
      </c>
      <c r="E75" t="s">
        <v>42</v>
      </c>
      <c r="F75" t="s">
        <v>43</v>
      </c>
      <c r="G75" t="s">
        <v>22</v>
      </c>
      <c r="H75" s="1">
        <v>46133</v>
      </c>
      <c r="I75" s="1">
        <v>46147</v>
      </c>
      <c r="J75">
        <v>11606.62</v>
      </c>
      <c r="K75" t="s">
        <v>23</v>
      </c>
      <c r="L75" s="1" t="b">
        <f t="shared" si="3"/>
        <v>1</v>
      </c>
      <c r="M75">
        <f>HospitalData[[#This Row],[Discharge Date]]-HospitalData[[#This Row],[Admission Date]]</f>
        <v>14</v>
      </c>
      <c r="N75" t="str">
        <f>IF(HospitalData[[#This Row],[Length of Stay]]&lt;0,"INVALID","OK")</f>
        <v>OK</v>
      </c>
      <c r="O75">
        <f>DATEDIF(HospitalData[[#This Row],[Date of Birth]],HospitalData[[#This Row],[Admission Date]],"y")</f>
        <v>4</v>
      </c>
      <c r="P75" t="str">
        <f>IF(OR(HospitalData[[#This Row],[Patient Age]]&lt;0,HospitalData[[#This Row],[Patient Age]]&gt;120),"INVALID","OK")</f>
        <v>OK</v>
      </c>
      <c r="Q75" t="str">
        <f>IF(HospitalData[[#This Row],[Patient Age]]&lt;1,"Infant",IF(HospitalData[[#This Row],[Patient Age]]&lt;13,"Child",IF(HospitalData[[#This Row],[Patient Age]]&lt;18,"Adolescent",IF(HospitalData[[#This Row],[Patient Age]]&lt;60,"Adult","Senior"))))</f>
        <v>Child</v>
      </c>
      <c r="R75" t="str">
        <f>IF(HospitalData[[#This Row],[Length of Stay]]=0,"Same Day",IF(HospitalData[[#This Row],[Length of Stay]]&lt;=3,"1-3 Days",IF(HospitalData[[#This Row],[Length of Stay]]&lt;=7,"4-7 Days","8+ Days")))</f>
        <v>8+ Days</v>
      </c>
      <c r="S75" t="str">
        <f>IF(HospitalData[[#This Row],[Total Charges]]&lt;0,"INVALID","OK")</f>
        <v>OK</v>
      </c>
      <c r="T75">
        <f t="shared" si="4"/>
        <v>1</v>
      </c>
    </row>
    <row r="76" spans="1:20" x14ac:dyDescent="0.25">
      <c r="A76" t="s">
        <v>216</v>
      </c>
      <c r="B76" t="s">
        <v>206</v>
      </c>
      <c r="C76" s="1">
        <v>39454</v>
      </c>
      <c r="D76" t="s">
        <v>26</v>
      </c>
      <c r="E76" t="s">
        <v>14</v>
      </c>
      <c r="F76" t="s">
        <v>15</v>
      </c>
      <c r="G76" t="s">
        <v>77</v>
      </c>
      <c r="H76" s="1">
        <v>46211</v>
      </c>
      <c r="I76" s="1">
        <v>46222</v>
      </c>
      <c r="J76">
        <v>2479.5</v>
      </c>
      <c r="K76" t="s">
        <v>23</v>
      </c>
      <c r="L76" s="1" t="b">
        <f t="shared" si="3"/>
        <v>1</v>
      </c>
      <c r="M76">
        <f>HospitalData[[#This Row],[Discharge Date]]-HospitalData[[#This Row],[Admission Date]]</f>
        <v>11</v>
      </c>
      <c r="N76" t="str">
        <f>IF(HospitalData[[#This Row],[Length of Stay]]&lt;0,"INVALID","OK")</f>
        <v>OK</v>
      </c>
      <c r="O76">
        <f>DATEDIF(HospitalData[[#This Row],[Date of Birth]],HospitalData[[#This Row],[Admission Date]],"y")</f>
        <v>18</v>
      </c>
      <c r="P76" t="str">
        <f>IF(OR(HospitalData[[#This Row],[Patient Age]]&lt;0,HospitalData[[#This Row],[Patient Age]]&gt;120),"INVALID","OK")</f>
        <v>OK</v>
      </c>
      <c r="Q76" t="str">
        <f>IF(HospitalData[[#This Row],[Patient Age]]&lt;1,"Infant",IF(HospitalData[[#This Row],[Patient Age]]&lt;13,"Child",IF(HospitalData[[#This Row],[Patient Age]]&lt;18,"Adolescent",IF(HospitalData[[#This Row],[Patient Age]]&lt;60,"Adult","Senior"))))</f>
        <v>Adult</v>
      </c>
      <c r="R76" t="str">
        <f>IF(HospitalData[[#This Row],[Length of Stay]]=0,"Same Day",IF(HospitalData[[#This Row],[Length of Stay]]&lt;=3,"1-3 Days",IF(HospitalData[[#This Row],[Length of Stay]]&lt;=7,"4-7 Days","8+ Days")))</f>
        <v>8+ Days</v>
      </c>
      <c r="S76" t="str">
        <f>IF(HospitalData[[#This Row],[Total Charges]]&lt;0,"INVALID","OK")</f>
        <v>OK</v>
      </c>
      <c r="T76">
        <f t="shared" si="4"/>
        <v>1</v>
      </c>
    </row>
    <row r="77" spans="1:20" x14ac:dyDescent="0.25">
      <c r="A77" t="s">
        <v>217</v>
      </c>
      <c r="B77" t="s">
        <v>218</v>
      </c>
      <c r="C77" s="1">
        <v>14750</v>
      </c>
      <c r="D77" t="s">
        <v>26</v>
      </c>
      <c r="E77" t="s">
        <v>110</v>
      </c>
      <c r="F77" t="s">
        <v>111</v>
      </c>
      <c r="G77" t="s">
        <v>77</v>
      </c>
      <c r="H77" s="1">
        <v>46137</v>
      </c>
      <c r="I77" s="1">
        <v>46139</v>
      </c>
      <c r="J77">
        <v>2193.61</v>
      </c>
      <c r="K77" t="s">
        <v>53</v>
      </c>
      <c r="L77" s="1" t="b">
        <f t="shared" si="3"/>
        <v>1</v>
      </c>
      <c r="M77">
        <f>HospitalData[[#This Row],[Discharge Date]]-HospitalData[[#This Row],[Admission Date]]</f>
        <v>2</v>
      </c>
      <c r="N77" t="str">
        <f>IF(HospitalData[[#This Row],[Length of Stay]]&lt;0,"INVALID","OK")</f>
        <v>OK</v>
      </c>
      <c r="O77">
        <f>DATEDIF(HospitalData[[#This Row],[Date of Birth]],HospitalData[[#This Row],[Admission Date]],"y")</f>
        <v>85</v>
      </c>
      <c r="P77" t="str">
        <f>IF(OR(HospitalData[[#This Row],[Patient Age]]&lt;0,HospitalData[[#This Row],[Patient Age]]&gt;120),"INVALID","OK")</f>
        <v>OK</v>
      </c>
      <c r="Q77" t="str">
        <f>IF(HospitalData[[#This Row],[Patient Age]]&lt;1,"Infant",IF(HospitalData[[#This Row],[Patient Age]]&lt;13,"Child",IF(HospitalData[[#This Row],[Patient Age]]&lt;18,"Adolescent",IF(HospitalData[[#This Row],[Patient Age]]&lt;60,"Adult","Senior"))))</f>
        <v>Senior</v>
      </c>
      <c r="R77" t="str">
        <f>IF(HospitalData[[#This Row],[Length of Stay]]=0,"Same Day",IF(HospitalData[[#This Row],[Length of Stay]]&lt;=3,"1-3 Days",IF(HospitalData[[#This Row],[Length of Stay]]&lt;=7,"4-7 Days","8+ Days")))</f>
        <v>1-3 Days</v>
      </c>
      <c r="S77" t="str">
        <f>IF(HospitalData[[#This Row],[Total Charges]]&lt;0,"INVALID","OK")</f>
        <v>OK</v>
      </c>
      <c r="T77">
        <f t="shared" si="4"/>
        <v>1</v>
      </c>
    </row>
    <row r="78" spans="1:20" x14ac:dyDescent="0.25">
      <c r="A78" t="s">
        <v>219</v>
      </c>
      <c r="B78" t="s">
        <v>220</v>
      </c>
      <c r="C78" s="1">
        <v>37551</v>
      </c>
      <c r="D78" t="s">
        <v>26</v>
      </c>
      <c r="E78" t="s">
        <v>97</v>
      </c>
      <c r="F78" t="s">
        <v>98</v>
      </c>
      <c r="G78" t="s">
        <v>68</v>
      </c>
      <c r="H78" s="1">
        <v>45973</v>
      </c>
      <c r="I78" s="1">
        <v>45978</v>
      </c>
      <c r="J78">
        <v>701.86</v>
      </c>
      <c r="K78" t="s">
        <v>63</v>
      </c>
      <c r="L78" s="1" t="b">
        <f t="shared" si="3"/>
        <v>1</v>
      </c>
      <c r="M78">
        <f>HospitalData[[#This Row],[Discharge Date]]-HospitalData[[#This Row],[Admission Date]]</f>
        <v>5</v>
      </c>
      <c r="N78" t="str">
        <f>IF(HospitalData[[#This Row],[Length of Stay]]&lt;0,"INVALID","OK")</f>
        <v>OK</v>
      </c>
      <c r="O78">
        <f>DATEDIF(HospitalData[[#This Row],[Date of Birth]],HospitalData[[#This Row],[Admission Date]],"y")</f>
        <v>23</v>
      </c>
      <c r="P78" t="str">
        <f>IF(OR(HospitalData[[#This Row],[Patient Age]]&lt;0,HospitalData[[#This Row],[Patient Age]]&gt;120),"INVALID","OK")</f>
        <v>OK</v>
      </c>
      <c r="Q78" t="str">
        <f>IF(HospitalData[[#This Row],[Patient Age]]&lt;1,"Infant",IF(HospitalData[[#This Row],[Patient Age]]&lt;13,"Child",IF(HospitalData[[#This Row],[Patient Age]]&lt;18,"Adolescent",IF(HospitalData[[#This Row],[Patient Age]]&lt;60,"Adult","Senior"))))</f>
        <v>Adult</v>
      </c>
      <c r="R78" t="str">
        <f>IF(HospitalData[[#This Row],[Length of Stay]]=0,"Same Day",IF(HospitalData[[#This Row],[Length of Stay]]&lt;=3,"1-3 Days",IF(HospitalData[[#This Row],[Length of Stay]]&lt;=7,"4-7 Days","8+ Days")))</f>
        <v>4-7 Days</v>
      </c>
      <c r="S78" t="str">
        <f>IF(HospitalData[[#This Row],[Total Charges]]&lt;0,"INVALID","OK")</f>
        <v>OK</v>
      </c>
      <c r="T78">
        <f t="shared" si="4"/>
        <v>1</v>
      </c>
    </row>
    <row r="79" spans="1:20" x14ac:dyDescent="0.25">
      <c r="A79" t="s">
        <v>221</v>
      </c>
      <c r="B79" t="s">
        <v>222</v>
      </c>
      <c r="C79" s="1">
        <v>20252</v>
      </c>
      <c r="D79" t="s">
        <v>13</v>
      </c>
      <c r="E79" t="s">
        <v>32</v>
      </c>
      <c r="F79" t="s">
        <v>33</v>
      </c>
      <c r="G79" t="s">
        <v>74</v>
      </c>
      <c r="H79" s="1">
        <v>46176</v>
      </c>
      <c r="I79" s="1">
        <v>46184</v>
      </c>
      <c r="J79">
        <v>3035.14</v>
      </c>
      <c r="K79" t="s">
        <v>39</v>
      </c>
      <c r="L79" s="1" t="b">
        <f t="shared" si="3"/>
        <v>1</v>
      </c>
      <c r="M79">
        <f>HospitalData[[#This Row],[Discharge Date]]-HospitalData[[#This Row],[Admission Date]]</f>
        <v>8</v>
      </c>
      <c r="N79" t="str">
        <f>IF(HospitalData[[#This Row],[Length of Stay]]&lt;0,"INVALID","OK")</f>
        <v>OK</v>
      </c>
      <c r="O79">
        <f>DATEDIF(HospitalData[[#This Row],[Date of Birth]],HospitalData[[#This Row],[Admission Date]],"y")</f>
        <v>70</v>
      </c>
      <c r="P79" t="str">
        <f>IF(OR(HospitalData[[#This Row],[Patient Age]]&lt;0,HospitalData[[#This Row],[Patient Age]]&gt;120),"INVALID","OK")</f>
        <v>OK</v>
      </c>
      <c r="Q79" t="str">
        <f>IF(HospitalData[[#This Row],[Patient Age]]&lt;1,"Infant",IF(HospitalData[[#This Row],[Patient Age]]&lt;13,"Child",IF(HospitalData[[#This Row],[Patient Age]]&lt;18,"Adolescent",IF(HospitalData[[#This Row],[Patient Age]]&lt;60,"Adult","Senior"))))</f>
        <v>Senior</v>
      </c>
      <c r="R79" t="str">
        <f>IF(HospitalData[[#This Row],[Length of Stay]]=0,"Same Day",IF(HospitalData[[#This Row],[Length of Stay]]&lt;=3,"1-3 Days",IF(HospitalData[[#This Row],[Length of Stay]]&lt;=7,"4-7 Days","8+ Days")))</f>
        <v>8+ Days</v>
      </c>
      <c r="S79" t="str">
        <f>IF(HospitalData[[#This Row],[Total Charges]]&lt;0,"INVALID","OK")</f>
        <v>OK</v>
      </c>
      <c r="T79">
        <f t="shared" si="4"/>
        <v>1</v>
      </c>
    </row>
    <row r="80" spans="1:20" x14ac:dyDescent="0.25">
      <c r="A80" t="s">
        <v>223</v>
      </c>
      <c r="B80" t="s">
        <v>224</v>
      </c>
      <c r="C80" s="1">
        <v>45311</v>
      </c>
      <c r="D80" t="s">
        <v>26</v>
      </c>
      <c r="E80" t="s">
        <v>101</v>
      </c>
      <c r="F80" t="s">
        <v>102</v>
      </c>
      <c r="G80" t="s">
        <v>129</v>
      </c>
      <c r="H80" s="1">
        <v>46008</v>
      </c>
      <c r="I80" s="1">
        <v>46011</v>
      </c>
      <c r="J80">
        <v>5218.84</v>
      </c>
      <c r="K80" t="s">
        <v>63</v>
      </c>
      <c r="L80" s="1" t="b">
        <f t="shared" si="3"/>
        <v>1</v>
      </c>
      <c r="M80">
        <f>HospitalData[[#This Row],[Discharge Date]]-HospitalData[[#This Row],[Admission Date]]</f>
        <v>3</v>
      </c>
      <c r="N80" t="str">
        <f>IF(HospitalData[[#This Row],[Length of Stay]]&lt;0,"INVALID","OK")</f>
        <v>OK</v>
      </c>
      <c r="O80">
        <f>DATEDIF(HospitalData[[#This Row],[Date of Birth]],HospitalData[[#This Row],[Admission Date]],"y")</f>
        <v>1</v>
      </c>
      <c r="P80" t="str">
        <f>IF(OR(HospitalData[[#This Row],[Patient Age]]&lt;0,HospitalData[[#This Row],[Patient Age]]&gt;120),"INVALID","OK")</f>
        <v>OK</v>
      </c>
      <c r="Q80" t="str">
        <f>IF(HospitalData[[#This Row],[Patient Age]]&lt;1,"Infant",IF(HospitalData[[#This Row],[Patient Age]]&lt;13,"Child",IF(HospitalData[[#This Row],[Patient Age]]&lt;18,"Adolescent",IF(HospitalData[[#This Row],[Patient Age]]&lt;60,"Adult","Senior"))))</f>
        <v>Child</v>
      </c>
      <c r="R80" t="str">
        <f>IF(HospitalData[[#This Row],[Length of Stay]]=0,"Same Day",IF(HospitalData[[#This Row],[Length of Stay]]&lt;=3,"1-3 Days",IF(HospitalData[[#This Row],[Length of Stay]]&lt;=7,"4-7 Days","8+ Days")))</f>
        <v>1-3 Days</v>
      </c>
      <c r="S80" t="str">
        <f>IF(HospitalData[[#This Row],[Total Charges]]&lt;0,"INVALID","OK")</f>
        <v>OK</v>
      </c>
      <c r="T80">
        <f t="shared" si="4"/>
        <v>1</v>
      </c>
    </row>
    <row r="81" spans="1:20" x14ac:dyDescent="0.25">
      <c r="A81" t="s">
        <v>225</v>
      </c>
      <c r="B81" t="s">
        <v>226</v>
      </c>
      <c r="C81" s="1">
        <v>41900</v>
      </c>
      <c r="D81" t="s">
        <v>26</v>
      </c>
      <c r="E81" t="s">
        <v>110</v>
      </c>
      <c r="F81" t="s">
        <v>111</v>
      </c>
      <c r="G81" t="s">
        <v>29</v>
      </c>
      <c r="H81" s="1">
        <v>46191</v>
      </c>
      <c r="I81" s="1">
        <v>46204</v>
      </c>
      <c r="J81">
        <v>2019.38</v>
      </c>
      <c r="K81" t="s">
        <v>23</v>
      </c>
      <c r="L81" s="1" t="b">
        <f t="shared" si="3"/>
        <v>1</v>
      </c>
      <c r="M81">
        <f>HospitalData[[#This Row],[Discharge Date]]-HospitalData[[#This Row],[Admission Date]]</f>
        <v>13</v>
      </c>
      <c r="N81" t="str">
        <f>IF(HospitalData[[#This Row],[Length of Stay]]&lt;0,"INVALID","OK")</f>
        <v>OK</v>
      </c>
      <c r="O81">
        <f>DATEDIF(HospitalData[[#This Row],[Date of Birth]],HospitalData[[#This Row],[Admission Date]],"y")</f>
        <v>11</v>
      </c>
      <c r="P81" t="str">
        <f>IF(OR(HospitalData[[#This Row],[Patient Age]]&lt;0,HospitalData[[#This Row],[Patient Age]]&gt;120),"INVALID","OK")</f>
        <v>OK</v>
      </c>
      <c r="Q81" t="str">
        <f>IF(HospitalData[[#This Row],[Patient Age]]&lt;1,"Infant",IF(HospitalData[[#This Row],[Patient Age]]&lt;13,"Child",IF(HospitalData[[#This Row],[Patient Age]]&lt;18,"Adolescent",IF(HospitalData[[#This Row],[Patient Age]]&lt;60,"Adult","Senior"))))</f>
        <v>Child</v>
      </c>
      <c r="R81" t="str">
        <f>IF(HospitalData[[#This Row],[Length of Stay]]=0,"Same Day",IF(HospitalData[[#This Row],[Length of Stay]]&lt;=3,"1-3 Days",IF(HospitalData[[#This Row],[Length of Stay]]&lt;=7,"4-7 Days","8+ Days")))</f>
        <v>8+ Days</v>
      </c>
      <c r="S81" t="str">
        <f>IF(HospitalData[[#This Row],[Total Charges]]&lt;0,"INVALID","OK")</f>
        <v>OK</v>
      </c>
      <c r="T81">
        <f t="shared" si="4"/>
        <v>1</v>
      </c>
    </row>
    <row r="82" spans="1:20" x14ac:dyDescent="0.25">
      <c r="A82" t="s">
        <v>227</v>
      </c>
      <c r="B82" t="s">
        <v>228</v>
      </c>
      <c r="C82" s="1">
        <v>28251</v>
      </c>
      <c r="D82" t="s">
        <v>26</v>
      </c>
      <c r="E82" t="s">
        <v>48</v>
      </c>
      <c r="F82" t="s">
        <v>49</v>
      </c>
      <c r="G82" t="s">
        <v>115</v>
      </c>
      <c r="H82" s="1">
        <v>45656</v>
      </c>
      <c r="I82" s="1">
        <v>45668</v>
      </c>
      <c r="J82">
        <v>1687.11</v>
      </c>
      <c r="K82" t="s">
        <v>45</v>
      </c>
      <c r="L82" s="1" t="b">
        <f t="shared" si="3"/>
        <v>1</v>
      </c>
      <c r="M82">
        <f>HospitalData[[#This Row],[Discharge Date]]-HospitalData[[#This Row],[Admission Date]]</f>
        <v>12</v>
      </c>
      <c r="N82" t="str">
        <f>IF(HospitalData[[#This Row],[Length of Stay]]&lt;0,"INVALID","OK")</f>
        <v>OK</v>
      </c>
      <c r="O82">
        <f>DATEDIF(HospitalData[[#This Row],[Date of Birth]],HospitalData[[#This Row],[Admission Date]],"y")</f>
        <v>47</v>
      </c>
      <c r="P82" t="str">
        <f>IF(OR(HospitalData[[#This Row],[Patient Age]]&lt;0,HospitalData[[#This Row],[Patient Age]]&gt;120),"INVALID","OK")</f>
        <v>OK</v>
      </c>
      <c r="Q82" t="str">
        <f>IF(HospitalData[[#This Row],[Patient Age]]&lt;1,"Infant",IF(HospitalData[[#This Row],[Patient Age]]&lt;13,"Child",IF(HospitalData[[#This Row],[Patient Age]]&lt;18,"Adolescent",IF(HospitalData[[#This Row],[Patient Age]]&lt;60,"Adult","Senior"))))</f>
        <v>Adult</v>
      </c>
      <c r="R82" t="str">
        <f>IF(HospitalData[[#This Row],[Length of Stay]]=0,"Same Day",IF(HospitalData[[#This Row],[Length of Stay]]&lt;=3,"1-3 Days",IF(HospitalData[[#This Row],[Length of Stay]]&lt;=7,"4-7 Days","8+ Days")))</f>
        <v>8+ Days</v>
      </c>
      <c r="S82" t="str">
        <f>IF(HospitalData[[#This Row],[Total Charges]]&lt;0,"INVALID","OK")</f>
        <v>OK</v>
      </c>
      <c r="T82">
        <f t="shared" si="4"/>
        <v>1</v>
      </c>
    </row>
    <row r="83" spans="1:20" x14ac:dyDescent="0.25">
      <c r="A83" t="s">
        <v>229</v>
      </c>
      <c r="B83" t="s">
        <v>230</v>
      </c>
      <c r="C83" s="1">
        <v>19419</v>
      </c>
      <c r="D83" t="s">
        <v>13</v>
      </c>
      <c r="E83" t="s">
        <v>42</v>
      </c>
      <c r="F83" t="s">
        <v>43</v>
      </c>
      <c r="G83" t="s">
        <v>140</v>
      </c>
      <c r="H83" s="1">
        <v>45822</v>
      </c>
      <c r="I83" s="1">
        <v>45831</v>
      </c>
      <c r="J83">
        <v>14071.73</v>
      </c>
      <c r="K83" t="s">
        <v>45</v>
      </c>
      <c r="L83" s="1" t="b">
        <f t="shared" si="3"/>
        <v>1</v>
      </c>
      <c r="M83">
        <f>HospitalData[[#This Row],[Discharge Date]]-HospitalData[[#This Row],[Admission Date]]</f>
        <v>9</v>
      </c>
      <c r="N83" t="str">
        <f>IF(HospitalData[[#This Row],[Length of Stay]]&lt;0,"INVALID","OK")</f>
        <v>OK</v>
      </c>
      <c r="O83">
        <f>DATEDIF(HospitalData[[#This Row],[Date of Birth]],HospitalData[[#This Row],[Admission Date]],"y")</f>
        <v>72</v>
      </c>
      <c r="P83" t="str">
        <f>IF(OR(HospitalData[[#This Row],[Patient Age]]&lt;0,HospitalData[[#This Row],[Patient Age]]&gt;120),"INVALID","OK")</f>
        <v>OK</v>
      </c>
      <c r="Q83" t="str">
        <f>IF(HospitalData[[#This Row],[Patient Age]]&lt;1,"Infant",IF(HospitalData[[#This Row],[Patient Age]]&lt;13,"Child",IF(HospitalData[[#This Row],[Patient Age]]&lt;18,"Adolescent",IF(HospitalData[[#This Row],[Patient Age]]&lt;60,"Adult","Senior"))))</f>
        <v>Senior</v>
      </c>
      <c r="R83" t="str">
        <f>IF(HospitalData[[#This Row],[Length of Stay]]=0,"Same Day",IF(HospitalData[[#This Row],[Length of Stay]]&lt;=3,"1-3 Days",IF(HospitalData[[#This Row],[Length of Stay]]&lt;=7,"4-7 Days","8+ Days")))</f>
        <v>8+ Days</v>
      </c>
      <c r="S83" t="str">
        <f>IF(HospitalData[[#This Row],[Total Charges]]&lt;0,"INVALID","OK")</f>
        <v>OK</v>
      </c>
      <c r="T83">
        <f t="shared" si="4"/>
        <v>1</v>
      </c>
    </row>
    <row r="84" spans="1:20" x14ac:dyDescent="0.25">
      <c r="A84" t="s">
        <v>231</v>
      </c>
      <c r="B84" t="s">
        <v>232</v>
      </c>
      <c r="C84" s="1">
        <v>23621</v>
      </c>
      <c r="D84" t="s">
        <v>13</v>
      </c>
      <c r="E84" t="s">
        <v>101</v>
      </c>
      <c r="F84" t="s">
        <v>102</v>
      </c>
      <c r="G84" t="s">
        <v>77</v>
      </c>
      <c r="H84" s="1">
        <v>46269</v>
      </c>
      <c r="I84" s="1">
        <v>46283</v>
      </c>
      <c r="J84">
        <v>5141.75</v>
      </c>
      <c r="K84" t="s">
        <v>23</v>
      </c>
      <c r="L84" s="1" t="b">
        <f t="shared" si="3"/>
        <v>1</v>
      </c>
      <c r="M84">
        <f>HospitalData[[#This Row],[Discharge Date]]-HospitalData[[#This Row],[Admission Date]]</f>
        <v>14</v>
      </c>
      <c r="N84" t="str">
        <f>IF(HospitalData[[#This Row],[Length of Stay]]&lt;0,"INVALID","OK")</f>
        <v>OK</v>
      </c>
      <c r="O84">
        <f>DATEDIF(HospitalData[[#This Row],[Date of Birth]],HospitalData[[#This Row],[Admission Date]],"y")</f>
        <v>62</v>
      </c>
      <c r="P84" t="str">
        <f>IF(OR(HospitalData[[#This Row],[Patient Age]]&lt;0,HospitalData[[#This Row],[Patient Age]]&gt;120),"INVALID","OK")</f>
        <v>OK</v>
      </c>
      <c r="Q84" t="str">
        <f>IF(HospitalData[[#This Row],[Patient Age]]&lt;1,"Infant",IF(HospitalData[[#This Row],[Patient Age]]&lt;13,"Child",IF(HospitalData[[#This Row],[Patient Age]]&lt;18,"Adolescent",IF(HospitalData[[#This Row],[Patient Age]]&lt;60,"Adult","Senior"))))</f>
        <v>Senior</v>
      </c>
      <c r="R84" t="str">
        <f>IF(HospitalData[[#This Row],[Length of Stay]]=0,"Same Day",IF(HospitalData[[#This Row],[Length of Stay]]&lt;=3,"1-3 Days",IF(HospitalData[[#This Row],[Length of Stay]]&lt;=7,"4-7 Days","8+ Days")))</f>
        <v>8+ Days</v>
      </c>
      <c r="S84" t="str">
        <f>IF(HospitalData[[#This Row],[Total Charges]]&lt;0,"INVALID","OK")</f>
        <v>OK</v>
      </c>
      <c r="T84">
        <f t="shared" si="4"/>
        <v>1</v>
      </c>
    </row>
    <row r="85" spans="1:20" x14ac:dyDescent="0.25">
      <c r="A85" t="s">
        <v>233</v>
      </c>
      <c r="B85" t="s">
        <v>234</v>
      </c>
      <c r="C85" s="1">
        <v>32206</v>
      </c>
      <c r="D85" t="s">
        <v>26</v>
      </c>
      <c r="E85" t="s">
        <v>20</v>
      </c>
      <c r="F85" t="s">
        <v>21</v>
      </c>
      <c r="G85" t="s">
        <v>145</v>
      </c>
      <c r="H85" s="1">
        <v>45925</v>
      </c>
      <c r="I85" s="1">
        <v>45930</v>
      </c>
      <c r="J85">
        <v>4481.0600000000004</v>
      </c>
      <c r="K85" t="s">
        <v>39</v>
      </c>
      <c r="L85" s="1" t="b">
        <f t="shared" si="3"/>
        <v>1</v>
      </c>
      <c r="M85">
        <f>HospitalData[[#This Row],[Discharge Date]]-HospitalData[[#This Row],[Admission Date]]</f>
        <v>5</v>
      </c>
      <c r="N85" t="str">
        <f>IF(HospitalData[[#This Row],[Length of Stay]]&lt;0,"INVALID","OK")</f>
        <v>OK</v>
      </c>
      <c r="O85">
        <f>DATEDIF(HospitalData[[#This Row],[Date of Birth]],HospitalData[[#This Row],[Admission Date]],"y")</f>
        <v>37</v>
      </c>
      <c r="P85" t="str">
        <f>IF(OR(HospitalData[[#This Row],[Patient Age]]&lt;0,HospitalData[[#This Row],[Patient Age]]&gt;120),"INVALID","OK")</f>
        <v>OK</v>
      </c>
      <c r="Q85" t="str">
        <f>IF(HospitalData[[#This Row],[Patient Age]]&lt;1,"Infant",IF(HospitalData[[#This Row],[Patient Age]]&lt;13,"Child",IF(HospitalData[[#This Row],[Patient Age]]&lt;18,"Adolescent",IF(HospitalData[[#This Row],[Patient Age]]&lt;60,"Adult","Senior"))))</f>
        <v>Adult</v>
      </c>
      <c r="R85" t="str">
        <f>IF(HospitalData[[#This Row],[Length of Stay]]=0,"Same Day",IF(HospitalData[[#This Row],[Length of Stay]]&lt;=3,"1-3 Days",IF(HospitalData[[#This Row],[Length of Stay]]&lt;=7,"4-7 Days","8+ Days")))</f>
        <v>4-7 Days</v>
      </c>
      <c r="S85" t="str">
        <f>IF(HospitalData[[#This Row],[Total Charges]]&lt;0,"INVALID","OK")</f>
        <v>OK</v>
      </c>
      <c r="T85">
        <f t="shared" si="4"/>
        <v>1</v>
      </c>
    </row>
    <row r="86" spans="1:20" x14ac:dyDescent="0.25">
      <c r="A86" t="s">
        <v>235</v>
      </c>
      <c r="B86" t="s">
        <v>236</v>
      </c>
      <c r="C86" s="1">
        <v>45662</v>
      </c>
      <c r="D86" t="s">
        <v>13</v>
      </c>
      <c r="E86" t="s">
        <v>37</v>
      </c>
      <c r="F86" t="s">
        <v>38</v>
      </c>
      <c r="G86" t="s">
        <v>68</v>
      </c>
      <c r="H86" s="1">
        <v>46142</v>
      </c>
      <c r="I86" s="1">
        <v>46154</v>
      </c>
      <c r="J86">
        <v>2287.37</v>
      </c>
      <c r="K86" t="s">
        <v>53</v>
      </c>
      <c r="L86" s="1" t="b">
        <f t="shared" si="3"/>
        <v>1</v>
      </c>
      <c r="M86">
        <f>HospitalData[[#This Row],[Discharge Date]]-HospitalData[[#This Row],[Admission Date]]</f>
        <v>12</v>
      </c>
      <c r="N86" t="str">
        <f>IF(HospitalData[[#This Row],[Length of Stay]]&lt;0,"INVALID","OK")</f>
        <v>OK</v>
      </c>
      <c r="O86">
        <f>DATEDIF(HospitalData[[#This Row],[Date of Birth]],HospitalData[[#This Row],[Admission Date]],"y")</f>
        <v>1</v>
      </c>
      <c r="P86" t="str">
        <f>IF(OR(HospitalData[[#This Row],[Patient Age]]&lt;0,HospitalData[[#This Row],[Patient Age]]&gt;120),"INVALID","OK")</f>
        <v>OK</v>
      </c>
      <c r="Q86" t="str">
        <f>IF(HospitalData[[#This Row],[Patient Age]]&lt;1,"Infant",IF(HospitalData[[#This Row],[Patient Age]]&lt;13,"Child",IF(HospitalData[[#This Row],[Patient Age]]&lt;18,"Adolescent",IF(HospitalData[[#This Row],[Patient Age]]&lt;60,"Adult","Senior"))))</f>
        <v>Child</v>
      </c>
      <c r="R86" t="str">
        <f>IF(HospitalData[[#This Row],[Length of Stay]]=0,"Same Day",IF(HospitalData[[#This Row],[Length of Stay]]&lt;=3,"1-3 Days",IF(HospitalData[[#This Row],[Length of Stay]]&lt;=7,"4-7 Days","8+ Days")))</f>
        <v>8+ Days</v>
      </c>
      <c r="S86" t="str">
        <f>IF(HospitalData[[#This Row],[Total Charges]]&lt;0,"INVALID","OK")</f>
        <v>OK</v>
      </c>
      <c r="T86">
        <f t="shared" si="4"/>
        <v>1</v>
      </c>
    </row>
    <row r="87" spans="1:20" x14ac:dyDescent="0.25">
      <c r="A87" t="s">
        <v>237</v>
      </c>
      <c r="B87" t="s">
        <v>238</v>
      </c>
      <c r="C87" s="1">
        <v>27065</v>
      </c>
      <c r="D87" t="s">
        <v>13</v>
      </c>
      <c r="E87" t="s">
        <v>20</v>
      </c>
      <c r="F87" t="s">
        <v>21</v>
      </c>
      <c r="G87" t="s">
        <v>239</v>
      </c>
      <c r="H87" s="1">
        <v>45604</v>
      </c>
      <c r="I87" s="1">
        <v>45613</v>
      </c>
      <c r="J87">
        <v>3924.8</v>
      </c>
      <c r="K87" t="s">
        <v>45</v>
      </c>
      <c r="L87" s="1" t="b">
        <f t="shared" si="3"/>
        <v>1</v>
      </c>
      <c r="M87">
        <f>HospitalData[[#This Row],[Discharge Date]]-HospitalData[[#This Row],[Admission Date]]</f>
        <v>9</v>
      </c>
      <c r="N87" t="str">
        <f>IF(HospitalData[[#This Row],[Length of Stay]]&lt;0,"INVALID","OK")</f>
        <v>OK</v>
      </c>
      <c r="O87">
        <f>DATEDIF(HospitalData[[#This Row],[Date of Birth]],HospitalData[[#This Row],[Admission Date]],"y")</f>
        <v>50</v>
      </c>
      <c r="P87" t="str">
        <f>IF(OR(HospitalData[[#This Row],[Patient Age]]&lt;0,HospitalData[[#This Row],[Patient Age]]&gt;120),"INVALID","OK")</f>
        <v>OK</v>
      </c>
      <c r="Q87" t="str">
        <f>IF(HospitalData[[#This Row],[Patient Age]]&lt;1,"Infant",IF(HospitalData[[#This Row],[Patient Age]]&lt;13,"Child",IF(HospitalData[[#This Row],[Patient Age]]&lt;18,"Adolescent",IF(HospitalData[[#This Row],[Patient Age]]&lt;60,"Adult","Senior"))))</f>
        <v>Adult</v>
      </c>
      <c r="R87" t="str">
        <f>IF(HospitalData[[#This Row],[Length of Stay]]=0,"Same Day",IF(HospitalData[[#This Row],[Length of Stay]]&lt;=3,"1-3 Days",IF(HospitalData[[#This Row],[Length of Stay]]&lt;=7,"4-7 Days","8+ Days")))</f>
        <v>8+ Days</v>
      </c>
      <c r="S87" t="str">
        <f>IF(HospitalData[[#This Row],[Total Charges]]&lt;0,"INVALID","OK")</f>
        <v>OK</v>
      </c>
      <c r="T87">
        <f t="shared" si="4"/>
        <v>1</v>
      </c>
    </row>
    <row r="88" spans="1:20" x14ac:dyDescent="0.25">
      <c r="A88" t="s">
        <v>240</v>
      </c>
      <c r="B88" t="s">
        <v>241</v>
      </c>
      <c r="C88" s="1">
        <v>18953</v>
      </c>
      <c r="D88" t="s">
        <v>13</v>
      </c>
      <c r="E88" t="s">
        <v>66</v>
      </c>
      <c r="F88" t="s">
        <v>67</v>
      </c>
      <c r="G88" t="s">
        <v>239</v>
      </c>
      <c r="H88" s="1">
        <v>45855</v>
      </c>
      <c r="I88" s="1">
        <v>45861</v>
      </c>
      <c r="J88">
        <v>773</v>
      </c>
      <c r="K88" t="s">
        <v>45</v>
      </c>
      <c r="L88" s="1" t="b">
        <f t="shared" si="3"/>
        <v>1</v>
      </c>
      <c r="M88">
        <f>HospitalData[[#This Row],[Discharge Date]]-HospitalData[[#This Row],[Admission Date]]</f>
        <v>6</v>
      </c>
      <c r="N88" t="str">
        <f>IF(HospitalData[[#This Row],[Length of Stay]]&lt;0,"INVALID","OK")</f>
        <v>OK</v>
      </c>
      <c r="O88">
        <f>DATEDIF(HospitalData[[#This Row],[Date of Birth]],HospitalData[[#This Row],[Admission Date]],"y")</f>
        <v>73</v>
      </c>
      <c r="P88" t="str">
        <f>IF(OR(HospitalData[[#This Row],[Patient Age]]&lt;0,HospitalData[[#This Row],[Patient Age]]&gt;120),"INVALID","OK")</f>
        <v>OK</v>
      </c>
      <c r="Q88" t="str">
        <f>IF(HospitalData[[#This Row],[Patient Age]]&lt;1,"Infant",IF(HospitalData[[#This Row],[Patient Age]]&lt;13,"Child",IF(HospitalData[[#This Row],[Patient Age]]&lt;18,"Adolescent",IF(HospitalData[[#This Row],[Patient Age]]&lt;60,"Adult","Senior"))))</f>
        <v>Senior</v>
      </c>
      <c r="R88" t="str">
        <f>IF(HospitalData[[#This Row],[Length of Stay]]=0,"Same Day",IF(HospitalData[[#This Row],[Length of Stay]]&lt;=3,"1-3 Days",IF(HospitalData[[#This Row],[Length of Stay]]&lt;=7,"4-7 Days","8+ Days")))</f>
        <v>4-7 Days</v>
      </c>
      <c r="S88" t="str">
        <f>IF(HospitalData[[#This Row],[Total Charges]]&lt;0,"INVALID","OK")</f>
        <v>OK</v>
      </c>
      <c r="T88">
        <f t="shared" si="4"/>
        <v>1</v>
      </c>
    </row>
    <row r="89" spans="1:20" x14ac:dyDescent="0.25">
      <c r="A89" t="s">
        <v>242</v>
      </c>
      <c r="B89" t="s">
        <v>243</v>
      </c>
      <c r="C89" s="1">
        <v>30696</v>
      </c>
      <c r="D89" t="s">
        <v>13</v>
      </c>
      <c r="E89" t="s">
        <v>58</v>
      </c>
      <c r="F89" t="s">
        <v>59</v>
      </c>
      <c r="G89" t="s">
        <v>22</v>
      </c>
      <c r="H89" s="1">
        <v>46134</v>
      </c>
      <c r="I89" s="1">
        <v>46141</v>
      </c>
      <c r="J89">
        <v>623.74</v>
      </c>
      <c r="K89" t="s">
        <v>69</v>
      </c>
      <c r="L89" s="1" t="b">
        <f t="shared" si="3"/>
        <v>1</v>
      </c>
      <c r="M89">
        <f>HospitalData[[#This Row],[Discharge Date]]-HospitalData[[#This Row],[Admission Date]]</f>
        <v>7</v>
      </c>
      <c r="N89" t="str">
        <f>IF(HospitalData[[#This Row],[Length of Stay]]&lt;0,"INVALID","OK")</f>
        <v>OK</v>
      </c>
      <c r="O89">
        <f>DATEDIF(HospitalData[[#This Row],[Date of Birth]],HospitalData[[#This Row],[Admission Date]],"y")</f>
        <v>42</v>
      </c>
      <c r="P89" t="str">
        <f>IF(OR(HospitalData[[#This Row],[Patient Age]]&lt;0,HospitalData[[#This Row],[Patient Age]]&gt;120),"INVALID","OK")</f>
        <v>OK</v>
      </c>
      <c r="Q89" t="str">
        <f>IF(HospitalData[[#This Row],[Patient Age]]&lt;1,"Infant",IF(HospitalData[[#This Row],[Patient Age]]&lt;13,"Child",IF(HospitalData[[#This Row],[Patient Age]]&lt;18,"Adolescent",IF(HospitalData[[#This Row],[Patient Age]]&lt;60,"Adult","Senior"))))</f>
        <v>Adult</v>
      </c>
      <c r="R89" t="str">
        <f>IF(HospitalData[[#This Row],[Length of Stay]]=0,"Same Day",IF(HospitalData[[#This Row],[Length of Stay]]&lt;=3,"1-3 Days",IF(HospitalData[[#This Row],[Length of Stay]]&lt;=7,"4-7 Days","8+ Days")))</f>
        <v>4-7 Days</v>
      </c>
      <c r="S89" t="str">
        <f>IF(HospitalData[[#This Row],[Total Charges]]&lt;0,"INVALID","OK")</f>
        <v>OK</v>
      </c>
      <c r="T89">
        <f t="shared" si="4"/>
        <v>1</v>
      </c>
    </row>
    <row r="90" spans="1:20" x14ac:dyDescent="0.25">
      <c r="A90" t="s">
        <v>244</v>
      </c>
      <c r="B90" t="s">
        <v>245</v>
      </c>
      <c r="C90" s="1">
        <v>33399</v>
      </c>
      <c r="D90" t="s">
        <v>26</v>
      </c>
      <c r="E90" t="s">
        <v>80</v>
      </c>
      <c r="F90" t="s">
        <v>81</v>
      </c>
      <c r="G90" t="s">
        <v>115</v>
      </c>
      <c r="H90" s="1">
        <v>45706</v>
      </c>
      <c r="I90" s="1">
        <v>45719</v>
      </c>
      <c r="J90">
        <v>10749.75</v>
      </c>
      <c r="K90" t="s">
        <v>17</v>
      </c>
      <c r="L90" s="1" t="b">
        <f t="shared" si="3"/>
        <v>1</v>
      </c>
      <c r="M90">
        <f>HospitalData[[#This Row],[Discharge Date]]-HospitalData[[#This Row],[Admission Date]]</f>
        <v>13</v>
      </c>
      <c r="N90" t="str">
        <f>IF(HospitalData[[#This Row],[Length of Stay]]&lt;0,"INVALID","OK")</f>
        <v>OK</v>
      </c>
      <c r="O90">
        <f>DATEDIF(HospitalData[[#This Row],[Date of Birth]],HospitalData[[#This Row],[Admission Date]],"y")</f>
        <v>33</v>
      </c>
      <c r="P90" t="str">
        <f>IF(OR(HospitalData[[#This Row],[Patient Age]]&lt;0,HospitalData[[#This Row],[Patient Age]]&gt;120),"INVALID","OK")</f>
        <v>OK</v>
      </c>
      <c r="Q90" t="str">
        <f>IF(HospitalData[[#This Row],[Patient Age]]&lt;1,"Infant",IF(HospitalData[[#This Row],[Patient Age]]&lt;13,"Child",IF(HospitalData[[#This Row],[Patient Age]]&lt;18,"Adolescent",IF(HospitalData[[#This Row],[Patient Age]]&lt;60,"Adult","Senior"))))</f>
        <v>Adult</v>
      </c>
      <c r="R90" t="str">
        <f>IF(HospitalData[[#This Row],[Length of Stay]]=0,"Same Day",IF(HospitalData[[#This Row],[Length of Stay]]&lt;=3,"1-3 Days",IF(HospitalData[[#This Row],[Length of Stay]]&lt;=7,"4-7 Days","8+ Days")))</f>
        <v>8+ Days</v>
      </c>
      <c r="S90" t="str">
        <f>IF(HospitalData[[#This Row],[Total Charges]]&lt;0,"INVALID","OK")</f>
        <v>OK</v>
      </c>
      <c r="T90">
        <f t="shared" si="4"/>
        <v>1</v>
      </c>
    </row>
    <row r="91" spans="1:20" x14ac:dyDescent="0.25">
      <c r="A91" t="s">
        <v>246</v>
      </c>
      <c r="B91" t="s">
        <v>247</v>
      </c>
      <c r="C91" s="1">
        <v>13432</v>
      </c>
      <c r="D91" t="s">
        <v>13</v>
      </c>
      <c r="E91" t="s">
        <v>27</v>
      </c>
      <c r="F91" t="s">
        <v>28</v>
      </c>
      <c r="G91" t="s">
        <v>68</v>
      </c>
      <c r="H91" s="1">
        <v>46126</v>
      </c>
      <c r="I91" s="1">
        <v>46138</v>
      </c>
      <c r="J91">
        <v>26882.639999999999</v>
      </c>
      <c r="K91" t="s">
        <v>53</v>
      </c>
      <c r="L91" s="1" t="b">
        <f t="shared" si="3"/>
        <v>1</v>
      </c>
      <c r="M91">
        <f>HospitalData[[#This Row],[Discharge Date]]-HospitalData[[#This Row],[Admission Date]]</f>
        <v>12</v>
      </c>
      <c r="N91" t="str">
        <f>IF(HospitalData[[#This Row],[Length of Stay]]&lt;0,"INVALID","OK")</f>
        <v>OK</v>
      </c>
      <c r="O91">
        <f>DATEDIF(HospitalData[[#This Row],[Date of Birth]],HospitalData[[#This Row],[Admission Date]],"y")</f>
        <v>89</v>
      </c>
      <c r="P91" t="str">
        <f>IF(OR(HospitalData[[#This Row],[Patient Age]]&lt;0,HospitalData[[#This Row],[Patient Age]]&gt;120),"INVALID","OK")</f>
        <v>OK</v>
      </c>
      <c r="Q91" t="str">
        <f>IF(HospitalData[[#This Row],[Patient Age]]&lt;1,"Infant",IF(HospitalData[[#This Row],[Patient Age]]&lt;13,"Child",IF(HospitalData[[#This Row],[Patient Age]]&lt;18,"Adolescent",IF(HospitalData[[#This Row],[Patient Age]]&lt;60,"Adult","Senior"))))</f>
        <v>Senior</v>
      </c>
      <c r="R91" t="str">
        <f>IF(HospitalData[[#This Row],[Length of Stay]]=0,"Same Day",IF(HospitalData[[#This Row],[Length of Stay]]&lt;=3,"1-3 Days",IF(HospitalData[[#This Row],[Length of Stay]]&lt;=7,"4-7 Days","8+ Days")))</f>
        <v>8+ Days</v>
      </c>
      <c r="S91" t="str">
        <f>IF(HospitalData[[#This Row],[Total Charges]]&lt;0,"INVALID","OK")</f>
        <v>OK</v>
      </c>
      <c r="T91">
        <f t="shared" si="4"/>
        <v>1</v>
      </c>
    </row>
    <row r="92" spans="1:20" x14ac:dyDescent="0.25">
      <c r="A92" t="s">
        <v>248</v>
      </c>
      <c r="B92" t="s">
        <v>249</v>
      </c>
      <c r="C92" s="1">
        <v>40934</v>
      </c>
      <c r="D92" t="s">
        <v>26</v>
      </c>
      <c r="E92" t="s">
        <v>14</v>
      </c>
      <c r="F92" t="s">
        <v>15</v>
      </c>
      <c r="G92" t="s">
        <v>164</v>
      </c>
      <c r="H92" s="1">
        <v>46171</v>
      </c>
      <c r="I92" s="1">
        <v>46184</v>
      </c>
      <c r="J92">
        <v>2739.96</v>
      </c>
      <c r="K92" t="s">
        <v>63</v>
      </c>
      <c r="L92" s="1" t="b">
        <f t="shared" si="3"/>
        <v>1</v>
      </c>
      <c r="M92">
        <f>HospitalData[[#This Row],[Discharge Date]]-HospitalData[[#This Row],[Admission Date]]</f>
        <v>13</v>
      </c>
      <c r="N92" t="str">
        <f>IF(HospitalData[[#This Row],[Length of Stay]]&lt;0,"INVALID","OK")</f>
        <v>OK</v>
      </c>
      <c r="O92">
        <f>DATEDIF(HospitalData[[#This Row],[Date of Birth]],HospitalData[[#This Row],[Admission Date]],"y")</f>
        <v>14</v>
      </c>
      <c r="P92" t="str">
        <f>IF(OR(HospitalData[[#This Row],[Patient Age]]&lt;0,HospitalData[[#This Row],[Patient Age]]&gt;120),"INVALID","OK")</f>
        <v>OK</v>
      </c>
      <c r="Q92" t="str">
        <f>IF(HospitalData[[#This Row],[Patient Age]]&lt;1,"Infant",IF(HospitalData[[#This Row],[Patient Age]]&lt;13,"Child",IF(HospitalData[[#This Row],[Patient Age]]&lt;18,"Adolescent",IF(HospitalData[[#This Row],[Patient Age]]&lt;60,"Adult","Senior"))))</f>
        <v>Adolescent</v>
      </c>
      <c r="R92" t="str">
        <f>IF(HospitalData[[#This Row],[Length of Stay]]=0,"Same Day",IF(HospitalData[[#This Row],[Length of Stay]]&lt;=3,"1-3 Days",IF(HospitalData[[#This Row],[Length of Stay]]&lt;=7,"4-7 Days","8+ Days")))</f>
        <v>8+ Days</v>
      </c>
      <c r="S92" t="str">
        <f>IF(HospitalData[[#This Row],[Total Charges]]&lt;0,"INVALID","OK")</f>
        <v>OK</v>
      </c>
      <c r="T92">
        <f t="shared" si="4"/>
        <v>1</v>
      </c>
    </row>
    <row r="93" spans="1:20" x14ac:dyDescent="0.25">
      <c r="A93" t="s">
        <v>250</v>
      </c>
      <c r="B93" t="s">
        <v>251</v>
      </c>
      <c r="C93" s="1">
        <v>27762</v>
      </c>
      <c r="D93" t="s">
        <v>26</v>
      </c>
      <c r="E93" t="s">
        <v>20</v>
      </c>
      <c r="F93" t="s">
        <v>21</v>
      </c>
      <c r="G93" t="s">
        <v>120</v>
      </c>
      <c r="H93" s="1">
        <v>45860</v>
      </c>
      <c r="I93" s="1">
        <v>45867</v>
      </c>
      <c r="J93">
        <v>1344.47</v>
      </c>
      <c r="K93" t="s">
        <v>23</v>
      </c>
      <c r="L93" s="1" t="b">
        <f t="shared" si="3"/>
        <v>1</v>
      </c>
      <c r="M93">
        <f>HospitalData[[#This Row],[Discharge Date]]-HospitalData[[#This Row],[Admission Date]]</f>
        <v>7</v>
      </c>
      <c r="N93" t="str">
        <f>IF(HospitalData[[#This Row],[Length of Stay]]&lt;0,"INVALID","OK")</f>
        <v>OK</v>
      </c>
      <c r="O93">
        <f>DATEDIF(HospitalData[[#This Row],[Date of Birth]],HospitalData[[#This Row],[Admission Date]],"y")</f>
        <v>49</v>
      </c>
      <c r="P93" t="str">
        <f>IF(OR(HospitalData[[#This Row],[Patient Age]]&lt;0,HospitalData[[#This Row],[Patient Age]]&gt;120),"INVALID","OK")</f>
        <v>OK</v>
      </c>
      <c r="Q93" t="str">
        <f>IF(HospitalData[[#This Row],[Patient Age]]&lt;1,"Infant",IF(HospitalData[[#This Row],[Patient Age]]&lt;13,"Child",IF(HospitalData[[#This Row],[Patient Age]]&lt;18,"Adolescent",IF(HospitalData[[#This Row],[Patient Age]]&lt;60,"Adult","Senior"))))</f>
        <v>Adult</v>
      </c>
      <c r="R93" t="str">
        <f>IF(HospitalData[[#This Row],[Length of Stay]]=0,"Same Day",IF(HospitalData[[#This Row],[Length of Stay]]&lt;=3,"1-3 Days",IF(HospitalData[[#This Row],[Length of Stay]]&lt;=7,"4-7 Days","8+ Days")))</f>
        <v>4-7 Days</v>
      </c>
      <c r="S93" t="str">
        <f>IF(HospitalData[[#This Row],[Total Charges]]&lt;0,"INVALID","OK")</f>
        <v>OK</v>
      </c>
      <c r="T93">
        <f t="shared" si="4"/>
        <v>1</v>
      </c>
    </row>
    <row r="94" spans="1:20" x14ac:dyDescent="0.25">
      <c r="A94" t="s">
        <v>252</v>
      </c>
      <c r="B94" t="s">
        <v>253</v>
      </c>
      <c r="C94" s="1">
        <v>41595</v>
      </c>
      <c r="D94" t="s">
        <v>26</v>
      </c>
      <c r="E94" t="s">
        <v>42</v>
      </c>
      <c r="F94" t="s">
        <v>43</v>
      </c>
      <c r="G94" t="s">
        <v>159</v>
      </c>
      <c r="H94" s="1">
        <v>46048</v>
      </c>
      <c r="I94" s="1">
        <v>46053</v>
      </c>
      <c r="J94">
        <v>14704.48</v>
      </c>
      <c r="K94" t="s">
        <v>23</v>
      </c>
      <c r="L94" s="1" t="b">
        <f t="shared" si="3"/>
        <v>1</v>
      </c>
      <c r="M94">
        <f>HospitalData[[#This Row],[Discharge Date]]-HospitalData[[#This Row],[Admission Date]]</f>
        <v>5</v>
      </c>
      <c r="N94" t="str">
        <f>IF(HospitalData[[#This Row],[Length of Stay]]&lt;0,"INVALID","OK")</f>
        <v>OK</v>
      </c>
      <c r="O94">
        <f>DATEDIF(HospitalData[[#This Row],[Date of Birth]],HospitalData[[#This Row],[Admission Date]],"y")</f>
        <v>12</v>
      </c>
      <c r="P94" t="str">
        <f>IF(OR(HospitalData[[#This Row],[Patient Age]]&lt;0,HospitalData[[#This Row],[Patient Age]]&gt;120),"INVALID","OK")</f>
        <v>OK</v>
      </c>
      <c r="Q94" t="str">
        <f>IF(HospitalData[[#This Row],[Patient Age]]&lt;1,"Infant",IF(HospitalData[[#This Row],[Patient Age]]&lt;13,"Child",IF(HospitalData[[#This Row],[Patient Age]]&lt;18,"Adolescent",IF(HospitalData[[#This Row],[Patient Age]]&lt;60,"Adult","Senior"))))</f>
        <v>Child</v>
      </c>
      <c r="R94" t="str">
        <f>IF(HospitalData[[#This Row],[Length of Stay]]=0,"Same Day",IF(HospitalData[[#This Row],[Length of Stay]]&lt;=3,"1-3 Days",IF(HospitalData[[#This Row],[Length of Stay]]&lt;=7,"4-7 Days","8+ Days")))</f>
        <v>4-7 Days</v>
      </c>
      <c r="S94" t="str">
        <f>IF(HospitalData[[#This Row],[Total Charges]]&lt;0,"INVALID","OK")</f>
        <v>OK</v>
      </c>
      <c r="T94">
        <f t="shared" si="4"/>
        <v>1</v>
      </c>
    </row>
    <row r="95" spans="1:20" x14ac:dyDescent="0.25">
      <c r="A95" t="s">
        <v>254</v>
      </c>
      <c r="B95" t="s">
        <v>255</v>
      </c>
      <c r="C95" s="1">
        <v>43501</v>
      </c>
      <c r="D95" t="s">
        <v>13</v>
      </c>
      <c r="E95" t="s">
        <v>80</v>
      </c>
      <c r="F95" t="s">
        <v>81</v>
      </c>
      <c r="G95" t="s">
        <v>140</v>
      </c>
      <c r="H95" s="1">
        <v>45953</v>
      </c>
      <c r="I95" s="1">
        <v>45959</v>
      </c>
      <c r="J95">
        <v>17704.04</v>
      </c>
      <c r="K95" t="s">
        <v>69</v>
      </c>
      <c r="L95" s="1" t="b">
        <f t="shared" si="3"/>
        <v>1</v>
      </c>
      <c r="M95">
        <f>HospitalData[[#This Row],[Discharge Date]]-HospitalData[[#This Row],[Admission Date]]</f>
        <v>6</v>
      </c>
      <c r="N95" t="str">
        <f>IF(HospitalData[[#This Row],[Length of Stay]]&lt;0,"INVALID","OK")</f>
        <v>OK</v>
      </c>
      <c r="O95">
        <f>DATEDIF(HospitalData[[#This Row],[Date of Birth]],HospitalData[[#This Row],[Admission Date]],"y")</f>
        <v>6</v>
      </c>
      <c r="P95" t="str">
        <f>IF(OR(HospitalData[[#This Row],[Patient Age]]&lt;0,HospitalData[[#This Row],[Patient Age]]&gt;120),"INVALID","OK")</f>
        <v>OK</v>
      </c>
      <c r="Q95" t="str">
        <f>IF(HospitalData[[#This Row],[Patient Age]]&lt;1,"Infant",IF(HospitalData[[#This Row],[Patient Age]]&lt;13,"Child",IF(HospitalData[[#This Row],[Patient Age]]&lt;18,"Adolescent",IF(HospitalData[[#This Row],[Patient Age]]&lt;60,"Adult","Senior"))))</f>
        <v>Child</v>
      </c>
      <c r="R95" t="str">
        <f>IF(HospitalData[[#This Row],[Length of Stay]]=0,"Same Day",IF(HospitalData[[#This Row],[Length of Stay]]&lt;=3,"1-3 Days",IF(HospitalData[[#This Row],[Length of Stay]]&lt;=7,"4-7 Days","8+ Days")))</f>
        <v>4-7 Days</v>
      </c>
      <c r="S95" t="str">
        <f>IF(HospitalData[[#This Row],[Total Charges]]&lt;0,"INVALID","OK")</f>
        <v>OK</v>
      </c>
      <c r="T95">
        <f t="shared" si="4"/>
        <v>1</v>
      </c>
    </row>
    <row r="96" spans="1:20" x14ac:dyDescent="0.25">
      <c r="A96" t="s">
        <v>256</v>
      </c>
      <c r="B96" t="s">
        <v>257</v>
      </c>
      <c r="C96" s="1">
        <v>33902</v>
      </c>
      <c r="D96" t="s">
        <v>13</v>
      </c>
      <c r="E96" t="s">
        <v>110</v>
      </c>
      <c r="F96" t="s">
        <v>111</v>
      </c>
      <c r="G96" t="s">
        <v>145</v>
      </c>
      <c r="H96" s="1">
        <v>45588</v>
      </c>
      <c r="I96" s="1">
        <v>45593</v>
      </c>
      <c r="J96">
        <v>1078.8900000000001</v>
      </c>
      <c r="K96" t="s">
        <v>45</v>
      </c>
      <c r="L96" s="1" t="b">
        <f t="shared" si="3"/>
        <v>1</v>
      </c>
      <c r="M96">
        <f>HospitalData[[#This Row],[Discharge Date]]-HospitalData[[#This Row],[Admission Date]]</f>
        <v>5</v>
      </c>
      <c r="N96" t="str">
        <f>IF(HospitalData[[#This Row],[Length of Stay]]&lt;0,"INVALID","OK")</f>
        <v>OK</v>
      </c>
      <c r="O96">
        <f>DATEDIF(HospitalData[[#This Row],[Date of Birth]],HospitalData[[#This Row],[Admission Date]],"y")</f>
        <v>31</v>
      </c>
      <c r="P96" t="str">
        <f>IF(OR(HospitalData[[#This Row],[Patient Age]]&lt;0,HospitalData[[#This Row],[Patient Age]]&gt;120),"INVALID","OK")</f>
        <v>OK</v>
      </c>
      <c r="Q96" t="str">
        <f>IF(HospitalData[[#This Row],[Patient Age]]&lt;1,"Infant",IF(HospitalData[[#This Row],[Patient Age]]&lt;13,"Child",IF(HospitalData[[#This Row],[Patient Age]]&lt;18,"Adolescent",IF(HospitalData[[#This Row],[Patient Age]]&lt;60,"Adult","Senior"))))</f>
        <v>Adult</v>
      </c>
      <c r="R96" t="str">
        <f>IF(HospitalData[[#This Row],[Length of Stay]]=0,"Same Day",IF(HospitalData[[#This Row],[Length of Stay]]&lt;=3,"1-3 Days",IF(HospitalData[[#This Row],[Length of Stay]]&lt;=7,"4-7 Days","8+ Days")))</f>
        <v>4-7 Days</v>
      </c>
      <c r="S96" t="str">
        <f>IF(HospitalData[[#This Row],[Total Charges]]&lt;0,"INVALID","OK")</f>
        <v>OK</v>
      </c>
      <c r="T96">
        <f t="shared" si="4"/>
        <v>1</v>
      </c>
    </row>
    <row r="97" spans="1:20" x14ac:dyDescent="0.25">
      <c r="A97" t="s">
        <v>258</v>
      </c>
      <c r="B97" t="s">
        <v>259</v>
      </c>
      <c r="C97" s="1">
        <v>43185</v>
      </c>
      <c r="D97" t="s">
        <v>114</v>
      </c>
      <c r="E97" t="s">
        <v>97</v>
      </c>
      <c r="F97" t="s">
        <v>98</v>
      </c>
      <c r="G97" t="s">
        <v>77</v>
      </c>
      <c r="H97" s="1">
        <v>46167</v>
      </c>
      <c r="I97" s="1">
        <v>46171</v>
      </c>
      <c r="J97">
        <v>1484.86</v>
      </c>
      <c r="K97" t="s">
        <v>17</v>
      </c>
      <c r="L97" s="1" t="b">
        <f t="shared" si="3"/>
        <v>1</v>
      </c>
      <c r="M97">
        <f>HospitalData[[#This Row],[Discharge Date]]-HospitalData[[#This Row],[Admission Date]]</f>
        <v>4</v>
      </c>
      <c r="N97" t="str">
        <f>IF(HospitalData[[#This Row],[Length of Stay]]&lt;0,"INVALID","OK")</f>
        <v>OK</v>
      </c>
      <c r="O97">
        <f>DATEDIF(HospitalData[[#This Row],[Date of Birth]],HospitalData[[#This Row],[Admission Date]],"y")</f>
        <v>8</v>
      </c>
      <c r="P97" t="str">
        <f>IF(OR(HospitalData[[#This Row],[Patient Age]]&lt;0,HospitalData[[#This Row],[Patient Age]]&gt;120),"INVALID","OK")</f>
        <v>OK</v>
      </c>
      <c r="Q97" t="str">
        <f>IF(HospitalData[[#This Row],[Patient Age]]&lt;1,"Infant",IF(HospitalData[[#This Row],[Patient Age]]&lt;13,"Child",IF(HospitalData[[#This Row],[Patient Age]]&lt;18,"Adolescent",IF(HospitalData[[#This Row],[Patient Age]]&lt;60,"Adult","Senior"))))</f>
        <v>Child</v>
      </c>
      <c r="R97" t="str">
        <f>IF(HospitalData[[#This Row],[Length of Stay]]=0,"Same Day",IF(HospitalData[[#This Row],[Length of Stay]]&lt;=3,"1-3 Days",IF(HospitalData[[#This Row],[Length of Stay]]&lt;=7,"4-7 Days","8+ Days")))</f>
        <v>4-7 Days</v>
      </c>
      <c r="S97" t="str">
        <f>IF(HospitalData[[#This Row],[Total Charges]]&lt;0,"INVALID","OK")</f>
        <v>OK</v>
      </c>
      <c r="T97">
        <f t="shared" si="4"/>
        <v>1</v>
      </c>
    </row>
    <row r="98" spans="1:20" x14ac:dyDescent="0.25">
      <c r="A98" t="s">
        <v>260</v>
      </c>
      <c r="B98" t="s">
        <v>261</v>
      </c>
      <c r="C98" s="1">
        <v>37027</v>
      </c>
      <c r="D98" t="s">
        <v>26</v>
      </c>
      <c r="E98" t="s">
        <v>48</v>
      </c>
      <c r="F98" t="s">
        <v>49</v>
      </c>
      <c r="G98" t="s">
        <v>52</v>
      </c>
      <c r="H98" s="1">
        <v>46283</v>
      </c>
      <c r="I98" s="1">
        <v>46285</v>
      </c>
      <c r="J98">
        <v>1475.23</v>
      </c>
      <c r="K98" t="s">
        <v>23</v>
      </c>
      <c r="L98" s="1" t="b">
        <f t="shared" si="3"/>
        <v>1</v>
      </c>
      <c r="M98">
        <f>HospitalData[[#This Row],[Discharge Date]]-HospitalData[[#This Row],[Admission Date]]</f>
        <v>2</v>
      </c>
      <c r="N98" t="str">
        <f>IF(HospitalData[[#This Row],[Length of Stay]]&lt;0,"INVALID","OK")</f>
        <v>OK</v>
      </c>
      <c r="O98">
        <f>DATEDIF(HospitalData[[#This Row],[Date of Birth]],HospitalData[[#This Row],[Admission Date]],"y")</f>
        <v>25</v>
      </c>
      <c r="P98" t="str">
        <f>IF(OR(HospitalData[[#This Row],[Patient Age]]&lt;0,HospitalData[[#This Row],[Patient Age]]&gt;120),"INVALID","OK")</f>
        <v>OK</v>
      </c>
      <c r="Q98" t="str">
        <f>IF(HospitalData[[#This Row],[Patient Age]]&lt;1,"Infant",IF(HospitalData[[#This Row],[Patient Age]]&lt;13,"Child",IF(HospitalData[[#This Row],[Patient Age]]&lt;18,"Adolescent",IF(HospitalData[[#This Row],[Patient Age]]&lt;60,"Adult","Senior"))))</f>
        <v>Adult</v>
      </c>
      <c r="R98" t="str">
        <f>IF(HospitalData[[#This Row],[Length of Stay]]=0,"Same Day",IF(HospitalData[[#This Row],[Length of Stay]]&lt;=3,"1-3 Days",IF(HospitalData[[#This Row],[Length of Stay]]&lt;=7,"4-7 Days","8+ Days")))</f>
        <v>1-3 Days</v>
      </c>
      <c r="S98" t="str">
        <f>IF(HospitalData[[#This Row],[Total Charges]]&lt;0,"INVALID","OK")</f>
        <v>OK</v>
      </c>
      <c r="T98">
        <f t="shared" si="4"/>
        <v>1</v>
      </c>
    </row>
    <row r="99" spans="1:20" x14ac:dyDescent="0.25">
      <c r="A99" t="s">
        <v>262</v>
      </c>
      <c r="B99" t="s">
        <v>263</v>
      </c>
      <c r="C99" s="1">
        <v>13865</v>
      </c>
      <c r="D99" t="s">
        <v>114</v>
      </c>
      <c r="E99" t="s">
        <v>72</v>
      </c>
      <c r="F99" t="s">
        <v>73</v>
      </c>
      <c r="G99" t="s">
        <v>145</v>
      </c>
      <c r="H99" s="1">
        <v>45771</v>
      </c>
      <c r="I99" s="1">
        <v>45778</v>
      </c>
      <c r="J99">
        <v>667.35</v>
      </c>
      <c r="K99" t="s">
        <v>45</v>
      </c>
      <c r="L99" s="1" t="b">
        <f t="shared" si="3"/>
        <v>1</v>
      </c>
      <c r="M99">
        <f>HospitalData[[#This Row],[Discharge Date]]-HospitalData[[#This Row],[Admission Date]]</f>
        <v>7</v>
      </c>
      <c r="N99" t="str">
        <f>IF(HospitalData[[#This Row],[Length of Stay]]&lt;0,"INVALID","OK")</f>
        <v>OK</v>
      </c>
      <c r="O99">
        <f>DATEDIF(HospitalData[[#This Row],[Date of Birth]],HospitalData[[#This Row],[Admission Date]],"y")</f>
        <v>87</v>
      </c>
      <c r="P99" t="str">
        <f>IF(OR(HospitalData[[#This Row],[Patient Age]]&lt;0,HospitalData[[#This Row],[Patient Age]]&gt;120),"INVALID","OK")</f>
        <v>OK</v>
      </c>
      <c r="Q99" t="str">
        <f>IF(HospitalData[[#This Row],[Patient Age]]&lt;1,"Infant",IF(HospitalData[[#This Row],[Patient Age]]&lt;13,"Child",IF(HospitalData[[#This Row],[Patient Age]]&lt;18,"Adolescent",IF(HospitalData[[#This Row],[Patient Age]]&lt;60,"Adult","Senior"))))</f>
        <v>Senior</v>
      </c>
      <c r="R99" t="str">
        <f>IF(HospitalData[[#This Row],[Length of Stay]]=0,"Same Day",IF(HospitalData[[#This Row],[Length of Stay]]&lt;=3,"1-3 Days",IF(HospitalData[[#This Row],[Length of Stay]]&lt;=7,"4-7 Days","8+ Days")))</f>
        <v>4-7 Days</v>
      </c>
      <c r="S99" t="str">
        <f>IF(HospitalData[[#This Row],[Total Charges]]&lt;0,"INVALID","OK")</f>
        <v>OK</v>
      </c>
      <c r="T99">
        <f t="shared" si="4"/>
        <v>1</v>
      </c>
    </row>
    <row r="100" spans="1:20" x14ac:dyDescent="0.25">
      <c r="A100" t="s">
        <v>264</v>
      </c>
      <c r="B100" t="s">
        <v>265</v>
      </c>
      <c r="C100" s="1">
        <v>15285</v>
      </c>
      <c r="D100" t="s">
        <v>26</v>
      </c>
      <c r="E100" t="s">
        <v>101</v>
      </c>
      <c r="F100" t="s">
        <v>102</v>
      </c>
      <c r="G100" t="s">
        <v>29</v>
      </c>
      <c r="H100" s="1">
        <v>45810</v>
      </c>
      <c r="I100" s="1">
        <v>45814</v>
      </c>
      <c r="J100">
        <v>7923.4</v>
      </c>
      <c r="K100" t="s">
        <v>53</v>
      </c>
      <c r="L100" s="1" t="b">
        <f t="shared" si="3"/>
        <v>1</v>
      </c>
      <c r="M100">
        <f>HospitalData[[#This Row],[Discharge Date]]-HospitalData[[#This Row],[Admission Date]]</f>
        <v>4</v>
      </c>
      <c r="N100" t="str">
        <f>IF(HospitalData[[#This Row],[Length of Stay]]&lt;0,"INVALID","OK")</f>
        <v>OK</v>
      </c>
      <c r="O100">
        <f>DATEDIF(HospitalData[[#This Row],[Date of Birth]],HospitalData[[#This Row],[Admission Date]],"y")</f>
        <v>83</v>
      </c>
      <c r="P100" t="str">
        <f>IF(OR(HospitalData[[#This Row],[Patient Age]]&lt;0,HospitalData[[#This Row],[Patient Age]]&gt;120),"INVALID","OK")</f>
        <v>OK</v>
      </c>
      <c r="Q100" t="str">
        <f>IF(HospitalData[[#This Row],[Patient Age]]&lt;1,"Infant",IF(HospitalData[[#This Row],[Patient Age]]&lt;13,"Child",IF(HospitalData[[#This Row],[Patient Age]]&lt;18,"Adolescent",IF(HospitalData[[#This Row],[Patient Age]]&lt;60,"Adult","Senior"))))</f>
        <v>Senior</v>
      </c>
      <c r="R100" t="str">
        <f>IF(HospitalData[[#This Row],[Length of Stay]]=0,"Same Day",IF(HospitalData[[#This Row],[Length of Stay]]&lt;=3,"1-3 Days",IF(HospitalData[[#This Row],[Length of Stay]]&lt;=7,"4-7 Days","8+ Days")))</f>
        <v>4-7 Days</v>
      </c>
      <c r="S100" t="str">
        <f>IF(HospitalData[[#This Row],[Total Charges]]&lt;0,"INVALID","OK")</f>
        <v>OK</v>
      </c>
      <c r="T100">
        <f t="shared" si="4"/>
        <v>1</v>
      </c>
    </row>
    <row r="101" spans="1:20" x14ac:dyDescent="0.25">
      <c r="A101" t="s">
        <v>266</v>
      </c>
      <c r="B101" t="s">
        <v>267</v>
      </c>
      <c r="C101" s="1">
        <v>22721</v>
      </c>
      <c r="D101" t="s">
        <v>26</v>
      </c>
      <c r="E101" t="s">
        <v>72</v>
      </c>
      <c r="F101" t="s">
        <v>73</v>
      </c>
      <c r="G101" t="s">
        <v>92</v>
      </c>
      <c r="H101" s="1">
        <v>45999</v>
      </c>
      <c r="I101" s="1">
        <v>46001</v>
      </c>
      <c r="J101">
        <v>1392.28</v>
      </c>
      <c r="K101" t="s">
        <v>63</v>
      </c>
      <c r="L101" s="1" t="b">
        <f t="shared" si="3"/>
        <v>1</v>
      </c>
      <c r="M101">
        <f>HospitalData[[#This Row],[Discharge Date]]-HospitalData[[#This Row],[Admission Date]]</f>
        <v>2</v>
      </c>
      <c r="N101" t="str">
        <f>IF(HospitalData[[#This Row],[Length of Stay]]&lt;0,"INVALID","OK")</f>
        <v>OK</v>
      </c>
      <c r="O101">
        <f>DATEDIF(HospitalData[[#This Row],[Date of Birth]],HospitalData[[#This Row],[Admission Date]],"y")</f>
        <v>63</v>
      </c>
      <c r="P101" t="str">
        <f>IF(OR(HospitalData[[#This Row],[Patient Age]]&lt;0,HospitalData[[#This Row],[Patient Age]]&gt;120),"INVALID","OK")</f>
        <v>OK</v>
      </c>
      <c r="Q101" t="str">
        <f>IF(HospitalData[[#This Row],[Patient Age]]&lt;1,"Infant",IF(HospitalData[[#This Row],[Patient Age]]&lt;13,"Child",IF(HospitalData[[#This Row],[Patient Age]]&lt;18,"Adolescent",IF(HospitalData[[#This Row],[Patient Age]]&lt;60,"Adult","Senior"))))</f>
        <v>Senior</v>
      </c>
      <c r="R101" t="str">
        <f>IF(HospitalData[[#This Row],[Length of Stay]]=0,"Same Day",IF(HospitalData[[#This Row],[Length of Stay]]&lt;=3,"1-3 Days",IF(HospitalData[[#This Row],[Length of Stay]]&lt;=7,"4-7 Days","8+ Days")))</f>
        <v>1-3 Days</v>
      </c>
      <c r="S101" t="str">
        <f>IF(HospitalData[[#This Row],[Total Charges]]&lt;0,"INVALID","OK")</f>
        <v>OK</v>
      </c>
      <c r="T101">
        <f t="shared" si="4"/>
        <v>1</v>
      </c>
    </row>
    <row r="103" spans="1:20" x14ac:dyDescent="0.25">
      <c r="A103" s="18" t="s">
        <v>383</v>
      </c>
    </row>
  </sheetData>
  <hyperlinks>
    <hyperlink ref="A103" location="README!A1" display="README" xr:uid="{343B1306-4A5C-46BD-90A5-3DFD68D72B91}"/>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8"/>
  <sheetViews>
    <sheetView showGridLines="0" showRowColHeaders="0" zoomScale="70" zoomScaleNormal="70" workbookViewId="0">
      <selection activeCell="A5" sqref="A5:B5"/>
    </sheetView>
  </sheetViews>
  <sheetFormatPr defaultRowHeight="15.75" x14ac:dyDescent="0.25"/>
  <sheetData>
    <row r="1" spans="1:14" x14ac:dyDescent="0.25">
      <c r="A1" s="12" t="s">
        <v>340</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x14ac:dyDescent="0.25">
      <c r="A3" s="13" t="s">
        <v>341</v>
      </c>
      <c r="B3" s="13"/>
      <c r="C3" s="13"/>
      <c r="D3" s="13"/>
      <c r="E3" s="13"/>
      <c r="F3" s="13"/>
      <c r="G3" s="13"/>
      <c r="H3" s="13"/>
      <c r="I3" s="13"/>
      <c r="J3" s="13"/>
      <c r="K3" s="13"/>
      <c r="L3" s="13"/>
      <c r="M3" s="13"/>
      <c r="N3" s="13"/>
    </row>
    <row r="5" spans="1:14" x14ac:dyDescent="0.25">
      <c r="A5" s="14" t="s">
        <v>292</v>
      </c>
      <c r="B5" s="14"/>
      <c r="C5" s="14" t="s">
        <v>293</v>
      </c>
      <c r="D5" s="14"/>
      <c r="E5" s="14" t="s">
        <v>294</v>
      </c>
      <c r="F5" s="14"/>
      <c r="G5" s="15" t="s">
        <v>295</v>
      </c>
      <c r="H5" s="15"/>
      <c r="I5" s="15" t="s">
        <v>296</v>
      </c>
      <c r="J5" s="15"/>
      <c r="K5" s="15" t="s">
        <v>297</v>
      </c>
      <c r="L5" s="15"/>
      <c r="M5" s="15" t="s">
        <v>298</v>
      </c>
      <c r="N5" s="15"/>
    </row>
    <row r="6" spans="1:14" ht="15.75" customHeight="1" x14ac:dyDescent="0.25">
      <c r="A6" s="8">
        <f>Analysis!B3</f>
        <v>100</v>
      </c>
      <c r="B6" s="8"/>
      <c r="C6" s="8">
        <f>Analysis!B4</f>
        <v>100</v>
      </c>
      <c r="D6" s="8"/>
      <c r="E6" s="8">
        <f>Analysis!B5</f>
        <v>100</v>
      </c>
      <c r="F6" s="8"/>
      <c r="G6" s="9">
        <f>Analysis!B6</f>
        <v>42.64</v>
      </c>
      <c r="H6" s="9"/>
      <c r="I6" s="9">
        <f>Analysis!B7</f>
        <v>7.82</v>
      </c>
      <c r="J6" s="9"/>
      <c r="K6" s="10">
        <f>Analysis!B8</f>
        <v>627055.26</v>
      </c>
      <c r="L6" s="10"/>
      <c r="M6" s="11">
        <f>Analysis!B9</f>
        <v>6270.5526</v>
      </c>
      <c r="N6" s="11"/>
    </row>
    <row r="7" spans="1:14" ht="15.75" customHeight="1" x14ac:dyDescent="0.25">
      <c r="A7" s="8"/>
      <c r="B7" s="8"/>
      <c r="C7" s="8"/>
      <c r="D7" s="8"/>
      <c r="E7" s="8"/>
      <c r="F7" s="8"/>
      <c r="G7" s="9"/>
      <c r="H7" s="9"/>
      <c r="I7" s="9"/>
      <c r="J7" s="9"/>
      <c r="K7" s="10"/>
      <c r="L7" s="10"/>
      <c r="M7" s="11"/>
      <c r="N7" s="11"/>
    </row>
    <row r="8" spans="1:14" ht="15.75" customHeight="1" x14ac:dyDescent="0.25">
      <c r="A8" s="8"/>
      <c r="B8" s="8"/>
      <c r="C8" s="8"/>
      <c r="D8" s="8"/>
      <c r="E8" s="8"/>
      <c r="F8" s="8"/>
      <c r="G8" s="9"/>
      <c r="H8" s="9"/>
      <c r="I8" s="9"/>
      <c r="J8" s="9"/>
      <c r="K8" s="10"/>
      <c r="L8" s="10"/>
      <c r="M8" s="11"/>
      <c r="N8" s="11"/>
    </row>
    <row r="38" spans="15:15" x14ac:dyDescent="0.25">
      <c r="O38" s="18" t="s">
        <v>383</v>
      </c>
    </row>
  </sheetData>
  <mergeCells count="16">
    <mergeCell ref="M6:N8"/>
    <mergeCell ref="A1:N2"/>
    <mergeCell ref="A3:N3"/>
    <mergeCell ref="A5:B5"/>
    <mergeCell ref="A6:B8"/>
    <mergeCell ref="C5:D5"/>
    <mergeCell ref="E5:F5"/>
    <mergeCell ref="G5:H5"/>
    <mergeCell ref="I5:J5"/>
    <mergeCell ref="K5:L5"/>
    <mergeCell ref="M5:N5"/>
    <mergeCell ref="C6:D8"/>
    <mergeCell ref="E6:F8"/>
    <mergeCell ref="G6:H8"/>
    <mergeCell ref="I6:J8"/>
    <mergeCell ref="K6:L8"/>
  </mergeCells>
  <hyperlinks>
    <hyperlink ref="O38" location="README!A1" display="README" xr:uid="{9F5144D7-462A-4B57-BB8A-5BAE60D3A8B0}"/>
  </hyperlink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7"/>
  <sheetViews>
    <sheetView workbookViewId="0"/>
  </sheetViews>
  <sheetFormatPr defaultRowHeight="15.75" x14ac:dyDescent="0.25"/>
  <cols>
    <col min="1" max="1" width="22.25" bestFit="1" customWidth="1"/>
    <col min="2" max="2" width="11.875" bestFit="1" customWidth="1"/>
  </cols>
  <sheetData>
    <row r="1" spans="1:4" x14ac:dyDescent="0.25">
      <c r="A1" t="s">
        <v>291</v>
      </c>
      <c r="D1" s="18" t="s">
        <v>383</v>
      </c>
    </row>
    <row r="3" spans="1:4" x14ac:dyDescent="0.25">
      <c r="A3" t="s">
        <v>292</v>
      </c>
      <c r="B3">
        <f>COUNTA(HospitalData[Patient ID])</f>
        <v>100</v>
      </c>
    </row>
    <row r="4" spans="1:4" x14ac:dyDescent="0.25">
      <c r="A4" t="s">
        <v>293</v>
      </c>
      <c r="B4">
        <f>COUNTA(HospitalData[Admission Date])</f>
        <v>100</v>
      </c>
    </row>
    <row r="5" spans="1:4" x14ac:dyDescent="0.25">
      <c r="A5" t="s">
        <v>294</v>
      </c>
      <c r="B5">
        <f>COUNTA(HospitalData[Discharge Date])</f>
        <v>100</v>
      </c>
    </row>
    <row r="6" spans="1:4" x14ac:dyDescent="0.25">
      <c r="A6" t="s">
        <v>295</v>
      </c>
      <c r="B6">
        <f>AVERAGE(HospitalData[Patient Age])</f>
        <v>42.64</v>
      </c>
    </row>
    <row r="7" spans="1:4" x14ac:dyDescent="0.25">
      <c r="A7" t="s">
        <v>296</v>
      </c>
      <c r="B7">
        <f>AVERAGE(HospitalData[Length of Stay])</f>
        <v>7.82</v>
      </c>
    </row>
    <row r="8" spans="1:4" x14ac:dyDescent="0.25">
      <c r="A8" t="s">
        <v>297</v>
      </c>
      <c r="B8">
        <f>SUM(HospitalData[Total Charges])</f>
        <v>627055.26</v>
      </c>
    </row>
    <row r="9" spans="1:4" x14ac:dyDescent="0.25">
      <c r="A9" t="s">
        <v>298</v>
      </c>
      <c r="B9">
        <f>AVERAGE(HospitalData[Total Charges])</f>
        <v>6270.5526</v>
      </c>
    </row>
    <row r="11" spans="1:4" x14ac:dyDescent="0.25">
      <c r="A11" t="s">
        <v>3</v>
      </c>
      <c r="B11" t="s">
        <v>299</v>
      </c>
    </row>
    <row r="12" spans="1:4" x14ac:dyDescent="0.25">
      <c r="A12" t="s">
        <v>26</v>
      </c>
      <c r="B12">
        <f>COUNTIF(HospitalData[Gender],"Male")</f>
        <v>44</v>
      </c>
    </row>
    <row r="13" spans="1:4" x14ac:dyDescent="0.25">
      <c r="A13" t="s">
        <v>13</v>
      </c>
      <c r="B13">
        <f>COUNTIF(HospitalData[Gender],"Female")</f>
        <v>51</v>
      </c>
    </row>
    <row r="14" spans="1:4" x14ac:dyDescent="0.25">
      <c r="A14" t="s">
        <v>114</v>
      </c>
      <c r="B14">
        <f>COUNTIF(HospitalData[Gender],"Other")</f>
        <v>5</v>
      </c>
    </row>
    <row r="16" spans="1:4" x14ac:dyDescent="0.25">
      <c r="A16" t="s">
        <v>281</v>
      </c>
      <c r="B16" t="s">
        <v>299</v>
      </c>
    </row>
    <row r="17" spans="1:2" x14ac:dyDescent="0.25">
      <c r="A17" t="s">
        <v>300</v>
      </c>
      <c r="B17">
        <f>COUNTIF(HospitalData[Age Group],"Infant")</f>
        <v>2</v>
      </c>
    </row>
    <row r="18" spans="1:2" x14ac:dyDescent="0.25">
      <c r="A18" t="s">
        <v>301</v>
      </c>
      <c r="B18">
        <f>COUNTIF(HospitalData[Age Group],"Child")</f>
        <v>16</v>
      </c>
    </row>
    <row r="19" spans="1:2" x14ac:dyDescent="0.25">
      <c r="A19" t="s">
        <v>302</v>
      </c>
      <c r="B19">
        <f>COUNTIF(HospitalData[Age Group],"Adolescent")</f>
        <v>7</v>
      </c>
    </row>
    <row r="20" spans="1:2" x14ac:dyDescent="0.25">
      <c r="A20" t="s">
        <v>303</v>
      </c>
      <c r="B20">
        <f>COUNTIF(HospitalData[Age Group],"Adult")</f>
        <v>41</v>
      </c>
    </row>
    <row r="21" spans="1:2" x14ac:dyDescent="0.25">
      <c r="A21" t="s">
        <v>304</v>
      </c>
      <c r="B21">
        <f>COUNTIF(HospitalData[Age Group],"Senior")</f>
        <v>34</v>
      </c>
    </row>
    <row r="23" spans="1:2" x14ac:dyDescent="0.25">
      <c r="A23" t="s">
        <v>282</v>
      </c>
      <c r="B23" t="s">
        <v>299</v>
      </c>
    </row>
    <row r="24" spans="1:2" x14ac:dyDescent="0.25">
      <c r="A24" t="s">
        <v>305</v>
      </c>
      <c r="B24">
        <f>COUNTIF(HospitalData[LoS Category],"Same Day")</f>
        <v>0</v>
      </c>
    </row>
    <row r="25" spans="1:2" x14ac:dyDescent="0.25">
      <c r="A25" t="s">
        <v>307</v>
      </c>
      <c r="B25">
        <f>COUNTIF(HospitalData[LoS Category],"1-3 Days")</f>
        <v>16</v>
      </c>
    </row>
    <row r="26" spans="1:2" x14ac:dyDescent="0.25">
      <c r="A26" t="s">
        <v>308</v>
      </c>
      <c r="B26">
        <f>COUNTIF(HospitalData[LoS Category],"4-7 Days")</f>
        <v>32</v>
      </c>
    </row>
    <row r="27" spans="1:2" x14ac:dyDescent="0.25">
      <c r="A27" t="s">
        <v>306</v>
      </c>
      <c r="B27">
        <f>COUNTIF(HospitalData[LoS Category],"8+ Days")</f>
        <v>52</v>
      </c>
    </row>
  </sheetData>
  <hyperlinks>
    <hyperlink ref="D1" location="README!A1" display="README" xr:uid="{CFBA945B-E2F8-4CCB-B29D-6F7E14EEABB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9"/>
  <sheetViews>
    <sheetView workbookViewId="0">
      <selection activeCell="G11" sqref="G11"/>
    </sheetView>
  </sheetViews>
  <sheetFormatPr defaultRowHeight="15.75" x14ac:dyDescent="0.25"/>
  <cols>
    <col min="1" max="1" width="14.125" bestFit="1" customWidth="1"/>
    <col min="2" max="2" width="16.375" bestFit="1" customWidth="1"/>
  </cols>
  <sheetData>
    <row r="2" spans="1:2" x14ac:dyDescent="0.25">
      <c r="A2" t="s">
        <v>312</v>
      </c>
    </row>
    <row r="3" spans="1:2" x14ac:dyDescent="0.25">
      <c r="A3" s="3" t="s">
        <v>4</v>
      </c>
      <c r="B3" t="s">
        <v>311</v>
      </c>
    </row>
    <row r="4" spans="1:2" x14ac:dyDescent="0.25">
      <c r="A4" s="4" t="s">
        <v>110</v>
      </c>
      <c r="B4" s="19">
        <v>10</v>
      </c>
    </row>
    <row r="5" spans="1:2" x14ac:dyDescent="0.25">
      <c r="A5" s="4" t="s">
        <v>80</v>
      </c>
      <c r="B5" s="19">
        <v>9</v>
      </c>
    </row>
    <row r="6" spans="1:2" x14ac:dyDescent="0.25">
      <c r="A6" s="4" t="s">
        <v>42</v>
      </c>
      <c r="B6" s="19">
        <v>9</v>
      </c>
    </row>
    <row r="7" spans="1:2" x14ac:dyDescent="0.25">
      <c r="A7" s="4" t="s">
        <v>14</v>
      </c>
      <c r="B7" s="19">
        <v>8</v>
      </c>
    </row>
    <row r="8" spans="1:2" x14ac:dyDescent="0.25">
      <c r="A8" s="4" t="s">
        <v>32</v>
      </c>
      <c r="B8" s="19">
        <v>8</v>
      </c>
    </row>
    <row r="9" spans="1:2" x14ac:dyDescent="0.25">
      <c r="A9" s="4" t="s">
        <v>72</v>
      </c>
      <c r="B9" s="19">
        <v>7</v>
      </c>
    </row>
    <row r="10" spans="1:2" x14ac:dyDescent="0.25">
      <c r="A10" s="4" t="s">
        <v>101</v>
      </c>
      <c r="B10" s="19">
        <v>7</v>
      </c>
    </row>
    <row r="11" spans="1:2" x14ac:dyDescent="0.25">
      <c r="A11" s="4" t="s">
        <v>20</v>
      </c>
      <c r="B11" s="19">
        <v>7</v>
      </c>
    </row>
    <row r="12" spans="1:2" x14ac:dyDescent="0.25">
      <c r="A12" s="4" t="s">
        <v>48</v>
      </c>
      <c r="B12" s="19">
        <v>6</v>
      </c>
    </row>
    <row r="13" spans="1:2" x14ac:dyDescent="0.25">
      <c r="A13" s="4" t="s">
        <v>97</v>
      </c>
      <c r="B13" s="19">
        <v>6</v>
      </c>
    </row>
    <row r="14" spans="1:2" x14ac:dyDescent="0.25">
      <c r="A14" s="4" t="s">
        <v>27</v>
      </c>
      <c r="B14" s="19">
        <v>6</v>
      </c>
    </row>
    <row r="15" spans="1:2" x14ac:dyDescent="0.25">
      <c r="A15" s="4" t="s">
        <v>58</v>
      </c>
      <c r="B15" s="19">
        <v>5</v>
      </c>
    </row>
    <row r="16" spans="1:2" x14ac:dyDescent="0.25">
      <c r="A16" s="4" t="s">
        <v>66</v>
      </c>
      <c r="B16" s="19">
        <v>5</v>
      </c>
    </row>
    <row r="17" spans="1:2" x14ac:dyDescent="0.25">
      <c r="A17" s="4" t="s">
        <v>37</v>
      </c>
      <c r="B17" s="19">
        <v>4</v>
      </c>
    </row>
    <row r="18" spans="1:2" x14ac:dyDescent="0.25">
      <c r="A18" s="4" t="s">
        <v>84</v>
      </c>
      <c r="B18" s="19">
        <v>3</v>
      </c>
    </row>
    <row r="19" spans="1:2" x14ac:dyDescent="0.25">
      <c r="A19" s="4" t="s">
        <v>310</v>
      </c>
      <c r="B19" s="19">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30"/>
  <sheetViews>
    <sheetView workbookViewId="0">
      <selection activeCell="A2" sqref="A2"/>
    </sheetView>
  </sheetViews>
  <sheetFormatPr defaultRowHeight="15.75" x14ac:dyDescent="0.25"/>
  <cols>
    <col min="1" max="1" width="12.125" bestFit="1" customWidth="1"/>
    <col min="2" max="2" width="16.375" bestFit="1" customWidth="1"/>
  </cols>
  <sheetData>
    <row r="2" spans="1:2" x14ac:dyDescent="0.25">
      <c r="A2" t="s">
        <v>329</v>
      </c>
    </row>
    <row r="3" spans="1:2" x14ac:dyDescent="0.25">
      <c r="A3" s="3" t="s">
        <v>309</v>
      </c>
      <c r="B3" t="s">
        <v>313</v>
      </c>
    </row>
    <row r="4" spans="1:2" x14ac:dyDescent="0.25">
      <c r="A4" s="4" t="s">
        <v>326</v>
      </c>
      <c r="B4" s="19"/>
    </row>
    <row r="5" spans="1:2" x14ac:dyDescent="0.25">
      <c r="A5" s="5" t="s">
        <v>323</v>
      </c>
      <c r="B5" s="19">
        <v>5</v>
      </c>
    </row>
    <row r="6" spans="1:2" x14ac:dyDescent="0.25">
      <c r="A6" s="5" t="s">
        <v>324</v>
      </c>
      <c r="B6" s="19">
        <v>6</v>
      </c>
    </row>
    <row r="7" spans="1:2" x14ac:dyDescent="0.25">
      <c r="A7" s="5" t="s">
        <v>325</v>
      </c>
      <c r="B7" s="19">
        <v>4</v>
      </c>
    </row>
    <row r="8" spans="1:2" x14ac:dyDescent="0.25">
      <c r="A8" s="4" t="s">
        <v>327</v>
      </c>
      <c r="B8" s="19"/>
    </row>
    <row r="9" spans="1:2" x14ac:dyDescent="0.25">
      <c r="A9" s="5" t="s">
        <v>315</v>
      </c>
      <c r="B9" s="19">
        <v>3</v>
      </c>
    </row>
    <row r="10" spans="1:2" x14ac:dyDescent="0.25">
      <c r="A10" s="5" t="s">
        <v>316</v>
      </c>
      <c r="B10" s="19">
        <v>3</v>
      </c>
    </row>
    <row r="11" spans="1:2" x14ac:dyDescent="0.25">
      <c r="A11" s="5" t="s">
        <v>317</v>
      </c>
      <c r="B11" s="19">
        <v>2</v>
      </c>
    </row>
    <row r="12" spans="1:2" x14ac:dyDescent="0.25">
      <c r="A12" s="5" t="s">
        <v>318</v>
      </c>
      <c r="B12" s="19">
        <v>3</v>
      </c>
    </row>
    <row r="13" spans="1:2" x14ac:dyDescent="0.25">
      <c r="A13" s="5" t="s">
        <v>319</v>
      </c>
      <c r="B13" s="19">
        <v>5</v>
      </c>
    </row>
    <row r="14" spans="1:2" x14ac:dyDescent="0.25">
      <c r="A14" s="5" t="s">
        <v>320</v>
      </c>
      <c r="B14" s="19">
        <v>6</v>
      </c>
    </row>
    <row r="15" spans="1:2" x14ac:dyDescent="0.25">
      <c r="A15" s="5" t="s">
        <v>321</v>
      </c>
      <c r="B15" s="19">
        <v>7</v>
      </c>
    </row>
    <row r="16" spans="1:2" x14ac:dyDescent="0.25">
      <c r="A16" s="5" t="s">
        <v>322</v>
      </c>
      <c r="B16" s="19">
        <v>4</v>
      </c>
    </row>
    <row r="17" spans="1:2" x14ac:dyDescent="0.25">
      <c r="A17" s="5" t="s">
        <v>323</v>
      </c>
      <c r="B17" s="19">
        <v>2</v>
      </c>
    </row>
    <row r="18" spans="1:2" x14ac:dyDescent="0.25">
      <c r="A18" s="5" t="s">
        <v>324</v>
      </c>
      <c r="B18" s="19">
        <v>4</v>
      </c>
    </row>
    <row r="19" spans="1:2" x14ac:dyDescent="0.25">
      <c r="A19" s="5" t="s">
        <v>325</v>
      </c>
      <c r="B19" s="19">
        <v>9</v>
      </c>
    </row>
    <row r="20" spans="1:2" x14ac:dyDescent="0.25">
      <c r="A20" s="4" t="s">
        <v>328</v>
      </c>
      <c r="B20" s="19"/>
    </row>
    <row r="21" spans="1:2" x14ac:dyDescent="0.25">
      <c r="A21" s="5" t="s">
        <v>314</v>
      </c>
      <c r="B21" s="19">
        <v>2</v>
      </c>
    </row>
    <row r="22" spans="1:2" x14ac:dyDescent="0.25">
      <c r="A22" s="5" t="s">
        <v>315</v>
      </c>
      <c r="B22" s="19">
        <v>1</v>
      </c>
    </row>
    <row r="23" spans="1:2" x14ac:dyDescent="0.25">
      <c r="A23" s="5" t="s">
        <v>316</v>
      </c>
      <c r="B23" s="19">
        <v>5</v>
      </c>
    </row>
    <row r="24" spans="1:2" x14ac:dyDescent="0.25">
      <c r="A24" s="5" t="s">
        <v>317</v>
      </c>
      <c r="B24" s="19">
        <v>9</v>
      </c>
    </row>
    <row r="25" spans="1:2" x14ac:dyDescent="0.25">
      <c r="A25" s="5" t="s">
        <v>318</v>
      </c>
      <c r="B25" s="19">
        <v>4</v>
      </c>
    </row>
    <row r="26" spans="1:2" x14ac:dyDescent="0.25">
      <c r="A26" s="5" t="s">
        <v>319</v>
      </c>
      <c r="B26" s="19">
        <v>6</v>
      </c>
    </row>
    <row r="27" spans="1:2" x14ac:dyDescent="0.25">
      <c r="A27" s="5" t="s">
        <v>320</v>
      </c>
      <c r="B27" s="19">
        <v>3</v>
      </c>
    </row>
    <row r="28" spans="1:2" x14ac:dyDescent="0.25">
      <c r="A28" s="5" t="s">
        <v>321</v>
      </c>
      <c r="B28" s="19">
        <v>2</v>
      </c>
    </row>
    <row r="29" spans="1:2" x14ac:dyDescent="0.25">
      <c r="A29" s="5" t="s">
        <v>322</v>
      </c>
      <c r="B29" s="19">
        <v>5</v>
      </c>
    </row>
    <row r="30" spans="1:2" x14ac:dyDescent="0.25">
      <c r="A30" s="4" t="s">
        <v>310</v>
      </c>
      <c r="B30" s="19">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30"/>
  <sheetViews>
    <sheetView workbookViewId="0">
      <selection activeCell="E11" sqref="E11"/>
    </sheetView>
  </sheetViews>
  <sheetFormatPr defaultRowHeight="15.75" x14ac:dyDescent="0.25"/>
  <cols>
    <col min="1" max="1" width="12.125" bestFit="1" customWidth="1"/>
    <col min="2" max="2" width="18.375" bestFit="1" customWidth="1"/>
  </cols>
  <sheetData>
    <row r="2" spans="1:2" x14ac:dyDescent="0.25">
      <c r="A2" t="s">
        <v>331</v>
      </c>
    </row>
    <row r="3" spans="1:2" x14ac:dyDescent="0.25">
      <c r="A3" s="3" t="s">
        <v>309</v>
      </c>
      <c r="B3" t="s">
        <v>330</v>
      </c>
    </row>
    <row r="4" spans="1:2" x14ac:dyDescent="0.25">
      <c r="A4" s="4" t="s">
        <v>326</v>
      </c>
      <c r="B4" s="19"/>
    </row>
    <row r="5" spans="1:2" x14ac:dyDescent="0.25">
      <c r="A5" s="5" t="s">
        <v>323</v>
      </c>
      <c r="B5" s="6">
        <v>37745.32</v>
      </c>
    </row>
    <row r="6" spans="1:2" x14ac:dyDescent="0.25">
      <c r="A6" s="5" t="s">
        <v>324</v>
      </c>
      <c r="B6" s="6">
        <v>58369.37000000001</v>
      </c>
    </row>
    <row r="7" spans="1:2" x14ac:dyDescent="0.25">
      <c r="A7" s="5" t="s">
        <v>325</v>
      </c>
      <c r="B7" s="6">
        <v>5971.86</v>
      </c>
    </row>
    <row r="8" spans="1:2" x14ac:dyDescent="0.25">
      <c r="A8" s="4" t="s">
        <v>327</v>
      </c>
      <c r="B8" s="6"/>
    </row>
    <row r="9" spans="1:2" x14ac:dyDescent="0.25">
      <c r="A9" s="5" t="s">
        <v>315</v>
      </c>
      <c r="B9" s="6">
        <v>12920.41</v>
      </c>
    </row>
    <row r="10" spans="1:2" x14ac:dyDescent="0.25">
      <c r="A10" s="5" t="s">
        <v>316</v>
      </c>
      <c r="B10" s="6">
        <v>5712.16</v>
      </c>
    </row>
    <row r="11" spans="1:2" x14ac:dyDescent="0.25">
      <c r="A11" s="5" t="s">
        <v>317</v>
      </c>
      <c r="B11" s="6">
        <v>6912.92</v>
      </c>
    </row>
    <row r="12" spans="1:2" x14ac:dyDescent="0.25">
      <c r="A12" s="5" t="s">
        <v>318</v>
      </c>
      <c r="B12" s="6">
        <v>7416.9</v>
      </c>
    </row>
    <row r="13" spans="1:2" x14ac:dyDescent="0.25">
      <c r="A13" s="5" t="s">
        <v>319</v>
      </c>
      <c r="B13" s="6">
        <v>27342.909999999996</v>
      </c>
    </row>
    <row r="14" spans="1:2" x14ac:dyDescent="0.25">
      <c r="A14" s="5" t="s">
        <v>320</v>
      </c>
      <c r="B14" s="6">
        <v>44730.270000000004</v>
      </c>
    </row>
    <row r="15" spans="1:2" x14ac:dyDescent="0.25">
      <c r="A15" s="5" t="s">
        <v>321</v>
      </c>
      <c r="B15" s="6">
        <v>95881.430000000008</v>
      </c>
    </row>
    <row r="16" spans="1:2" x14ac:dyDescent="0.25">
      <c r="A16" s="5" t="s">
        <v>322</v>
      </c>
      <c r="B16" s="6">
        <v>13252.2</v>
      </c>
    </row>
    <row r="17" spans="1:2" x14ac:dyDescent="0.25">
      <c r="A17" s="5" t="s">
        <v>323</v>
      </c>
      <c r="B17" s="6">
        <v>18218</v>
      </c>
    </row>
    <row r="18" spans="1:2" x14ac:dyDescent="0.25">
      <c r="A18" s="5" t="s">
        <v>324</v>
      </c>
      <c r="B18" s="6">
        <v>33538.090000000004</v>
      </c>
    </row>
    <row r="19" spans="1:2" x14ac:dyDescent="0.25">
      <c r="A19" s="5" t="s">
        <v>325</v>
      </c>
      <c r="B19" s="6">
        <v>37184.93</v>
      </c>
    </row>
    <row r="20" spans="1:2" x14ac:dyDescent="0.25">
      <c r="A20" s="4" t="s">
        <v>328</v>
      </c>
      <c r="B20" s="6"/>
    </row>
    <row r="21" spans="1:2" x14ac:dyDescent="0.25">
      <c r="A21" s="5" t="s">
        <v>314</v>
      </c>
      <c r="B21" s="6">
        <v>22030.78</v>
      </c>
    </row>
    <row r="22" spans="1:2" x14ac:dyDescent="0.25">
      <c r="A22" s="5" t="s">
        <v>315</v>
      </c>
      <c r="B22" s="6">
        <v>2657.06</v>
      </c>
    </row>
    <row r="23" spans="1:2" x14ac:dyDescent="0.25">
      <c r="A23" s="5" t="s">
        <v>316</v>
      </c>
      <c r="B23" s="6">
        <v>8167.93</v>
      </c>
    </row>
    <row r="24" spans="1:2" x14ac:dyDescent="0.25">
      <c r="A24" s="5" t="s">
        <v>317</v>
      </c>
      <c r="B24" s="6">
        <v>92136.38</v>
      </c>
    </row>
    <row r="25" spans="1:2" x14ac:dyDescent="0.25">
      <c r="A25" s="5" t="s">
        <v>318</v>
      </c>
      <c r="B25" s="6">
        <v>7662.91</v>
      </c>
    </row>
    <row r="26" spans="1:2" x14ac:dyDescent="0.25">
      <c r="A26" s="5" t="s">
        <v>319</v>
      </c>
      <c r="B26" s="6">
        <v>42012.99</v>
      </c>
    </row>
    <row r="27" spans="1:2" x14ac:dyDescent="0.25">
      <c r="A27" s="5" t="s">
        <v>320</v>
      </c>
      <c r="B27" s="6">
        <v>5152.28</v>
      </c>
    </row>
    <row r="28" spans="1:2" x14ac:dyDescent="0.25">
      <c r="A28" s="5" t="s">
        <v>321</v>
      </c>
      <c r="B28" s="6">
        <v>13771.11</v>
      </c>
    </row>
    <row r="29" spans="1:2" x14ac:dyDescent="0.25">
      <c r="A29" s="5" t="s">
        <v>322</v>
      </c>
      <c r="B29" s="6">
        <v>28267.05</v>
      </c>
    </row>
    <row r="30" spans="1:2" x14ac:dyDescent="0.25">
      <c r="A30" s="4" t="s">
        <v>310</v>
      </c>
      <c r="B30" s="6">
        <v>627055.26000000013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9"/>
  <sheetViews>
    <sheetView workbookViewId="0">
      <selection activeCell="F8" sqref="F8"/>
    </sheetView>
  </sheetViews>
  <sheetFormatPr defaultRowHeight="15.75" x14ac:dyDescent="0.25"/>
  <cols>
    <col min="1" max="1" width="11.375" customWidth="1"/>
    <col min="2" max="2" width="22" customWidth="1"/>
    <col min="3" max="3" width="14.125" customWidth="1"/>
    <col min="4" max="4" width="12.5" customWidth="1"/>
    <col min="5" max="5" width="12.625" customWidth="1"/>
    <col min="6" max="6" width="14.25" bestFit="1" customWidth="1"/>
    <col min="7" max="7" width="14.5" bestFit="1" customWidth="1"/>
    <col min="8" max="8" width="11.75" bestFit="1" customWidth="1"/>
    <col min="9" max="9" width="12.75" customWidth="1"/>
    <col min="10" max="10" width="14.125" customWidth="1"/>
    <col min="11" max="11" width="15.25" bestFit="1" customWidth="1"/>
    <col min="12" max="12" width="13.875" bestFit="1" customWidth="1"/>
    <col min="13" max="13" width="13.125" customWidth="1"/>
    <col min="14" max="14" width="18.625" bestFit="1" customWidth="1"/>
    <col min="15" max="15" width="19.625" customWidth="1"/>
    <col min="16" max="16" width="17.5" bestFit="1" customWidth="1"/>
    <col min="17" max="17" width="16.5" customWidth="1"/>
    <col min="18" max="18" width="9.5" customWidth="1"/>
    <col min="19" max="19" width="13.875" bestFit="1" customWidth="1"/>
    <col min="20" max="20" width="10.5" customWidth="1"/>
    <col min="21" max="21" width="10.875" bestFit="1" customWidth="1"/>
    <col min="22" max="22" width="12.375" bestFit="1" customWidth="1"/>
    <col min="23" max="23" width="9.875" bestFit="1" customWidth="1"/>
    <col min="24" max="24" width="11.125" bestFit="1" customWidth="1"/>
    <col min="25" max="25" width="12.125" bestFit="1" customWidth="1"/>
    <col min="26" max="26" width="10.75" bestFit="1" customWidth="1"/>
    <col min="27" max="27" width="10.625" bestFit="1" customWidth="1"/>
    <col min="28" max="28" width="13" bestFit="1" customWidth="1"/>
    <col min="29" max="29" width="12.25" bestFit="1" customWidth="1"/>
    <col min="30" max="30" width="12.125" bestFit="1" customWidth="1"/>
    <col min="31" max="31" width="13.625" bestFit="1" customWidth="1"/>
    <col min="32" max="32" width="15.375" bestFit="1" customWidth="1"/>
    <col min="33" max="33" width="16.375" bestFit="1" customWidth="1"/>
    <col min="34" max="34" width="10.625" bestFit="1" customWidth="1"/>
    <col min="35" max="35" width="11.5" bestFit="1" customWidth="1"/>
    <col min="36" max="36" width="10.5" bestFit="1" customWidth="1"/>
    <col min="37" max="37" width="11.25" bestFit="1" customWidth="1"/>
    <col min="38" max="38" width="12.125" bestFit="1" customWidth="1"/>
    <col min="39" max="39" width="12.625" bestFit="1" customWidth="1"/>
    <col min="40" max="40" width="12.25" bestFit="1" customWidth="1"/>
    <col min="41" max="41" width="12.75" bestFit="1" customWidth="1"/>
    <col min="42" max="43" width="13.75" bestFit="1" customWidth="1"/>
    <col min="44" max="44" width="15.625" bestFit="1" customWidth="1"/>
    <col min="45" max="45" width="13.75" bestFit="1" customWidth="1"/>
    <col min="46" max="46" width="10.25" bestFit="1" customWidth="1"/>
    <col min="47" max="47" width="11.125" bestFit="1" customWidth="1"/>
    <col min="48" max="48" width="10" bestFit="1" customWidth="1"/>
    <col min="49" max="49" width="10.875" bestFit="1" customWidth="1"/>
    <col min="50" max="50" width="12.375" bestFit="1" customWidth="1"/>
    <col min="51" max="51" width="11.75" bestFit="1" customWidth="1"/>
    <col min="52" max="52" width="13.5" bestFit="1" customWidth="1"/>
    <col min="53" max="53" width="13.375" bestFit="1" customWidth="1"/>
    <col min="54" max="54" width="14.125" bestFit="1" customWidth="1"/>
    <col min="55" max="55" width="8.75" customWidth="1"/>
    <col min="56" max="56" width="10.625" bestFit="1" customWidth="1"/>
    <col min="57" max="57" width="13.25" bestFit="1" customWidth="1"/>
    <col min="58" max="58" width="13.625" bestFit="1" customWidth="1"/>
    <col min="59" max="59" width="12.5" bestFit="1" customWidth="1"/>
    <col min="60" max="60" width="16.125" bestFit="1" customWidth="1"/>
    <col min="61" max="61" width="12.25" bestFit="1" customWidth="1"/>
    <col min="62" max="62" width="11.125" bestFit="1" customWidth="1"/>
    <col min="63" max="63" width="9.875" bestFit="1" customWidth="1"/>
    <col min="64" max="64" width="8.625" customWidth="1"/>
    <col min="65" max="65" width="14.125" bestFit="1" customWidth="1"/>
    <col min="66" max="66" width="13.125" bestFit="1" customWidth="1"/>
    <col min="67" max="67" width="17.125" bestFit="1" customWidth="1"/>
    <col min="68" max="68" width="10.375" bestFit="1" customWidth="1"/>
    <col min="69" max="69" width="10" bestFit="1" customWidth="1"/>
    <col min="70" max="70" width="14.125" bestFit="1" customWidth="1"/>
    <col min="71" max="71" width="16" bestFit="1" customWidth="1"/>
    <col min="72" max="72" width="14.5" bestFit="1" customWidth="1"/>
    <col min="73" max="73" width="15.125" bestFit="1" customWidth="1"/>
    <col min="74" max="74" width="9.125" bestFit="1" customWidth="1"/>
    <col min="75" max="76" width="12.375" bestFit="1" customWidth="1"/>
    <col min="77" max="77" width="13.875" bestFit="1" customWidth="1"/>
    <col min="78" max="78" width="14.125" bestFit="1" customWidth="1"/>
    <col min="79" max="79" width="12" bestFit="1" customWidth="1"/>
    <col min="80" max="80" width="14.125" bestFit="1" customWidth="1"/>
    <col min="81" max="81" width="12" bestFit="1" customWidth="1"/>
    <col min="82" max="82" width="9.75" bestFit="1" customWidth="1"/>
    <col min="83" max="84" width="12.375" bestFit="1" customWidth="1"/>
    <col min="85" max="85" width="14.5" bestFit="1" customWidth="1"/>
    <col min="86" max="86" width="11.375" bestFit="1" customWidth="1"/>
    <col min="87" max="87" width="13.375" bestFit="1" customWidth="1"/>
    <col min="88" max="88" width="11.75" bestFit="1" customWidth="1"/>
    <col min="89" max="89" width="14.625" bestFit="1" customWidth="1"/>
    <col min="90" max="90" width="12.25" bestFit="1" customWidth="1"/>
    <col min="91" max="91" width="14.125" bestFit="1" customWidth="1"/>
    <col min="92" max="92" width="12.375" bestFit="1" customWidth="1"/>
    <col min="93" max="93" width="12.625" bestFit="1" customWidth="1"/>
    <col min="94" max="94" width="11.75" bestFit="1" customWidth="1"/>
    <col min="95" max="95" width="14" bestFit="1" customWidth="1"/>
    <col min="96" max="96" width="12.125" bestFit="1" customWidth="1"/>
    <col min="97" max="97" width="15.75" bestFit="1" customWidth="1"/>
    <col min="98" max="98" width="13.25" bestFit="1" customWidth="1"/>
    <col min="99" max="99" width="10.375" bestFit="1" customWidth="1"/>
  </cols>
  <sheetData>
    <row r="2" spans="1:2" x14ac:dyDescent="0.25">
      <c r="A2" t="s">
        <v>333</v>
      </c>
    </row>
    <row r="3" spans="1:2" x14ac:dyDescent="0.25">
      <c r="A3" s="3" t="s">
        <v>281</v>
      </c>
      <c r="B3" t="s">
        <v>332</v>
      </c>
    </row>
    <row r="4" spans="1:2" x14ac:dyDescent="0.25">
      <c r="A4" s="4" t="s">
        <v>302</v>
      </c>
      <c r="B4" s="7">
        <v>7</v>
      </c>
    </row>
    <row r="5" spans="1:2" x14ac:dyDescent="0.25">
      <c r="A5" s="4" t="s">
        <v>303</v>
      </c>
      <c r="B5" s="7">
        <v>7.7073170731707314</v>
      </c>
    </row>
    <row r="6" spans="1:2" x14ac:dyDescent="0.25">
      <c r="A6" s="4" t="s">
        <v>301</v>
      </c>
      <c r="B6" s="7">
        <v>9.0625</v>
      </c>
    </row>
    <row r="7" spans="1:2" x14ac:dyDescent="0.25">
      <c r="A7" s="4" t="s">
        <v>300</v>
      </c>
      <c r="B7" s="7">
        <v>11</v>
      </c>
    </row>
    <row r="8" spans="1:2" x14ac:dyDescent="0.25">
      <c r="A8" s="4" t="s">
        <v>304</v>
      </c>
      <c r="B8" s="7">
        <v>7.3529411764705879</v>
      </c>
    </row>
    <row r="9" spans="1:2" x14ac:dyDescent="0.25">
      <c r="A9" s="4" t="s">
        <v>310</v>
      </c>
      <c r="B9" s="7">
        <v>7.82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9"/>
  <sheetViews>
    <sheetView workbookViewId="0">
      <selection activeCell="A10" sqref="A10"/>
    </sheetView>
  </sheetViews>
  <sheetFormatPr defaultRowHeight="15.75" x14ac:dyDescent="0.25"/>
  <cols>
    <col min="1" max="1" width="12.125" bestFit="1" customWidth="1"/>
    <col min="2" max="2" width="21.75" bestFit="1" customWidth="1"/>
  </cols>
  <sheetData>
    <row r="2" spans="1:2" x14ac:dyDescent="0.25">
      <c r="A2" t="s">
        <v>335</v>
      </c>
    </row>
    <row r="3" spans="1:2" x14ac:dyDescent="0.25">
      <c r="A3" s="3" t="s">
        <v>309</v>
      </c>
      <c r="B3" t="s">
        <v>334</v>
      </c>
    </row>
    <row r="4" spans="1:2" x14ac:dyDescent="0.25">
      <c r="A4" s="4" t="s">
        <v>302</v>
      </c>
      <c r="B4" s="6">
        <v>11167.78</v>
      </c>
    </row>
    <row r="5" spans="1:2" x14ac:dyDescent="0.25">
      <c r="A5" s="4" t="s">
        <v>303</v>
      </c>
      <c r="B5" s="6">
        <v>5833.2417073170736</v>
      </c>
    </row>
    <row r="6" spans="1:2" x14ac:dyDescent="0.25">
      <c r="A6" s="4" t="s">
        <v>301</v>
      </c>
      <c r="B6" s="6">
        <v>6728.2281250000005</v>
      </c>
    </row>
    <row r="7" spans="1:2" x14ac:dyDescent="0.25">
      <c r="A7" s="4" t="s">
        <v>300</v>
      </c>
      <c r="B7" s="6">
        <v>1256.17</v>
      </c>
    </row>
    <row r="8" spans="1:2" x14ac:dyDescent="0.25">
      <c r="A8" s="4" t="s">
        <v>304</v>
      </c>
      <c r="B8" s="6">
        <v>5869.2323529411779</v>
      </c>
    </row>
    <row r="9" spans="1:2" x14ac:dyDescent="0.25">
      <c r="A9" s="4" t="s">
        <v>310</v>
      </c>
      <c r="B9" s="6">
        <v>6270.5526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7"/>
  <sheetViews>
    <sheetView workbookViewId="0">
      <selection activeCell="A9" sqref="A9"/>
    </sheetView>
  </sheetViews>
  <sheetFormatPr defaultRowHeight="15.75" x14ac:dyDescent="0.25"/>
  <cols>
    <col min="1" max="1" width="12.125" bestFit="1" customWidth="1"/>
    <col min="2" max="2" width="16.375" bestFit="1" customWidth="1"/>
  </cols>
  <sheetData>
    <row r="2" spans="1:2" x14ac:dyDescent="0.25">
      <c r="A2" t="s">
        <v>336</v>
      </c>
    </row>
    <row r="3" spans="1:2" x14ac:dyDescent="0.25">
      <c r="A3" s="3" t="s">
        <v>309</v>
      </c>
      <c r="B3" t="s">
        <v>313</v>
      </c>
    </row>
    <row r="4" spans="1:2" x14ac:dyDescent="0.25">
      <c r="A4" s="4" t="s">
        <v>13</v>
      </c>
      <c r="B4" s="19">
        <v>51</v>
      </c>
    </row>
    <row r="5" spans="1:2" x14ac:dyDescent="0.25">
      <c r="A5" s="4" t="s">
        <v>26</v>
      </c>
      <c r="B5" s="19">
        <v>44</v>
      </c>
    </row>
    <row r="6" spans="1:2" x14ac:dyDescent="0.25">
      <c r="A6" s="4" t="s">
        <v>114</v>
      </c>
      <c r="B6" s="19">
        <v>5</v>
      </c>
    </row>
    <row r="7" spans="1:2" x14ac:dyDescent="0.25">
      <c r="A7" s="4" t="s">
        <v>310</v>
      </c>
      <c r="B7" s="1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19"/>
  <sheetViews>
    <sheetView workbookViewId="0">
      <selection activeCell="A2" sqref="A2"/>
    </sheetView>
  </sheetViews>
  <sheetFormatPr defaultRowHeight="15.75" x14ac:dyDescent="0.25"/>
  <cols>
    <col min="1" max="1" width="14.125" bestFit="1" customWidth="1"/>
    <col min="2" max="2" width="18.375" bestFit="1" customWidth="1"/>
  </cols>
  <sheetData>
    <row r="2" spans="1:2" x14ac:dyDescent="0.25">
      <c r="A2" t="s">
        <v>337</v>
      </c>
    </row>
    <row r="3" spans="1:2" x14ac:dyDescent="0.25">
      <c r="A3" s="3" t="s">
        <v>309</v>
      </c>
      <c r="B3" t="s">
        <v>330</v>
      </c>
    </row>
    <row r="4" spans="1:2" x14ac:dyDescent="0.25">
      <c r="A4" s="4" t="s">
        <v>27</v>
      </c>
      <c r="B4" s="6">
        <v>235867.01999999996</v>
      </c>
    </row>
    <row r="5" spans="1:2" x14ac:dyDescent="0.25">
      <c r="A5" s="4" t="s">
        <v>80</v>
      </c>
      <c r="B5" s="6">
        <v>141386.71</v>
      </c>
    </row>
    <row r="6" spans="1:2" x14ac:dyDescent="0.25">
      <c r="A6" s="4" t="s">
        <v>42</v>
      </c>
      <c r="B6" s="6">
        <v>96185.78</v>
      </c>
    </row>
    <row r="7" spans="1:2" x14ac:dyDescent="0.25">
      <c r="A7" s="4" t="s">
        <v>101</v>
      </c>
      <c r="B7" s="6">
        <v>38826.959999999999</v>
      </c>
    </row>
    <row r="8" spans="1:2" x14ac:dyDescent="0.25">
      <c r="A8" s="4" t="s">
        <v>20</v>
      </c>
      <c r="B8" s="6">
        <v>22613.49</v>
      </c>
    </row>
    <row r="9" spans="1:2" x14ac:dyDescent="0.25">
      <c r="A9" s="4" t="s">
        <v>110</v>
      </c>
      <c r="B9" s="6">
        <v>19341.060000000001</v>
      </c>
    </row>
    <row r="10" spans="1:2" x14ac:dyDescent="0.25">
      <c r="A10" s="4" t="s">
        <v>32</v>
      </c>
      <c r="B10" s="6">
        <v>16582.670000000002</v>
      </c>
    </row>
    <row r="11" spans="1:2" x14ac:dyDescent="0.25">
      <c r="A11" s="4" t="s">
        <v>14</v>
      </c>
      <c r="B11" s="6">
        <v>16217.34</v>
      </c>
    </row>
    <row r="12" spans="1:2" x14ac:dyDescent="0.25">
      <c r="A12" s="4" t="s">
        <v>48</v>
      </c>
      <c r="B12" s="6">
        <v>9441.56</v>
      </c>
    </row>
    <row r="13" spans="1:2" x14ac:dyDescent="0.25">
      <c r="A13" s="4" t="s">
        <v>97</v>
      </c>
      <c r="B13" s="6">
        <v>6960.73</v>
      </c>
    </row>
    <row r="14" spans="1:2" x14ac:dyDescent="0.25">
      <c r="A14" s="4" t="s">
        <v>72</v>
      </c>
      <c r="B14" s="6">
        <v>6391.78</v>
      </c>
    </row>
    <row r="15" spans="1:2" x14ac:dyDescent="0.25">
      <c r="A15" s="4" t="s">
        <v>37</v>
      </c>
      <c r="B15" s="6">
        <v>5222.59</v>
      </c>
    </row>
    <row r="16" spans="1:2" x14ac:dyDescent="0.25">
      <c r="A16" s="4" t="s">
        <v>66</v>
      </c>
      <c r="B16" s="6">
        <v>4821.51</v>
      </c>
    </row>
    <row r="17" spans="1:2" x14ac:dyDescent="0.25">
      <c r="A17" s="4" t="s">
        <v>58</v>
      </c>
      <c r="B17" s="6">
        <v>3925.99</v>
      </c>
    </row>
    <row r="18" spans="1:2" x14ac:dyDescent="0.25">
      <c r="A18" s="4" t="s">
        <v>84</v>
      </c>
      <c r="B18" s="6">
        <v>3270.0699999999997</v>
      </c>
    </row>
    <row r="19" spans="1:2" x14ac:dyDescent="0.25">
      <c r="A19" s="4" t="s">
        <v>310</v>
      </c>
      <c r="B19" s="6">
        <v>627055.25999999978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19"/>
  <sheetViews>
    <sheetView workbookViewId="0">
      <selection activeCell="A21" sqref="A21"/>
    </sheetView>
  </sheetViews>
  <sheetFormatPr defaultRowHeight="15.75" x14ac:dyDescent="0.25"/>
  <cols>
    <col min="1" max="1" width="14.125" bestFit="1" customWidth="1"/>
    <col min="2" max="2" width="22" bestFit="1" customWidth="1"/>
  </cols>
  <sheetData>
    <row r="2" spans="1:2" x14ac:dyDescent="0.25">
      <c r="A2" t="s">
        <v>338</v>
      </c>
    </row>
    <row r="3" spans="1:2" x14ac:dyDescent="0.25">
      <c r="A3" s="3" t="s">
        <v>309</v>
      </c>
      <c r="B3" t="s">
        <v>332</v>
      </c>
    </row>
    <row r="4" spans="1:2" x14ac:dyDescent="0.25">
      <c r="A4" s="4" t="s">
        <v>37</v>
      </c>
      <c r="B4" s="7">
        <v>11</v>
      </c>
    </row>
    <row r="5" spans="1:2" x14ac:dyDescent="0.25">
      <c r="A5" s="4" t="s">
        <v>66</v>
      </c>
      <c r="B5" s="7">
        <v>9</v>
      </c>
    </row>
    <row r="6" spans="1:2" x14ac:dyDescent="0.25">
      <c r="A6" s="4" t="s">
        <v>48</v>
      </c>
      <c r="B6" s="7">
        <v>8.6666666666666661</v>
      </c>
    </row>
    <row r="7" spans="1:2" x14ac:dyDescent="0.25">
      <c r="A7" s="4" t="s">
        <v>42</v>
      </c>
      <c r="B7" s="7">
        <v>8.6666666666666661</v>
      </c>
    </row>
    <row r="8" spans="1:2" x14ac:dyDescent="0.25">
      <c r="A8" s="4" t="s">
        <v>14</v>
      </c>
      <c r="B8" s="7">
        <v>8.5</v>
      </c>
    </row>
    <row r="9" spans="1:2" x14ac:dyDescent="0.25">
      <c r="A9" s="4" t="s">
        <v>58</v>
      </c>
      <c r="B9" s="7">
        <v>8.1999999999999993</v>
      </c>
    </row>
    <row r="10" spans="1:2" x14ac:dyDescent="0.25">
      <c r="A10" s="4" t="s">
        <v>80</v>
      </c>
      <c r="B10" s="7">
        <v>8</v>
      </c>
    </row>
    <row r="11" spans="1:2" x14ac:dyDescent="0.25">
      <c r="A11" s="4" t="s">
        <v>84</v>
      </c>
      <c r="B11" s="7">
        <v>8</v>
      </c>
    </row>
    <row r="12" spans="1:2" x14ac:dyDescent="0.25">
      <c r="A12" s="4" t="s">
        <v>27</v>
      </c>
      <c r="B12" s="7">
        <v>7.833333333333333</v>
      </c>
    </row>
    <row r="13" spans="1:2" x14ac:dyDescent="0.25">
      <c r="A13" s="4" t="s">
        <v>32</v>
      </c>
      <c r="B13" s="7">
        <v>7.75</v>
      </c>
    </row>
    <row r="14" spans="1:2" x14ac:dyDescent="0.25">
      <c r="A14" s="4" t="s">
        <v>20</v>
      </c>
      <c r="B14" s="7">
        <v>7.7142857142857144</v>
      </c>
    </row>
    <row r="15" spans="1:2" x14ac:dyDescent="0.25">
      <c r="A15" s="4" t="s">
        <v>101</v>
      </c>
      <c r="B15" s="7">
        <v>7.7142857142857144</v>
      </c>
    </row>
    <row r="16" spans="1:2" x14ac:dyDescent="0.25">
      <c r="A16" s="4" t="s">
        <v>97</v>
      </c>
      <c r="B16" s="7">
        <v>7.5</v>
      </c>
    </row>
    <row r="17" spans="1:2" x14ac:dyDescent="0.25">
      <c r="A17" s="4" t="s">
        <v>110</v>
      </c>
      <c r="B17" s="7">
        <v>6.3</v>
      </c>
    </row>
    <row r="18" spans="1:2" x14ac:dyDescent="0.25">
      <c r="A18" s="4" t="s">
        <v>72</v>
      </c>
      <c r="B18" s="7">
        <v>4.7142857142857144</v>
      </c>
    </row>
    <row r="19" spans="1:2" x14ac:dyDescent="0.25">
      <c r="A19" s="4" t="s">
        <v>310</v>
      </c>
      <c r="B19" s="7">
        <v>7.82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B7"/>
  <sheetViews>
    <sheetView workbookViewId="0">
      <selection activeCell="A9" sqref="A9"/>
    </sheetView>
  </sheetViews>
  <sheetFormatPr defaultRowHeight="15.75" x14ac:dyDescent="0.25"/>
  <cols>
    <col min="1" max="1" width="12.125" bestFit="1" customWidth="1"/>
    <col min="2" max="2" width="16.375" bestFit="1" customWidth="1"/>
  </cols>
  <sheetData>
    <row r="2" spans="1:2" x14ac:dyDescent="0.25">
      <c r="A2" t="s">
        <v>339</v>
      </c>
    </row>
    <row r="3" spans="1:2" x14ac:dyDescent="0.25">
      <c r="A3" s="3" t="s">
        <v>309</v>
      </c>
      <c r="B3" t="s">
        <v>313</v>
      </c>
    </row>
    <row r="4" spans="1:2" x14ac:dyDescent="0.25">
      <c r="A4" s="4" t="s">
        <v>307</v>
      </c>
      <c r="B4" s="19">
        <v>16</v>
      </c>
    </row>
    <row r="5" spans="1:2" x14ac:dyDescent="0.25">
      <c r="A5" s="4" t="s">
        <v>308</v>
      </c>
      <c r="B5" s="19">
        <v>32</v>
      </c>
    </row>
    <row r="6" spans="1:2" x14ac:dyDescent="0.25">
      <c r="A6" s="4" t="s">
        <v>306</v>
      </c>
      <c r="B6" s="19">
        <v>52</v>
      </c>
    </row>
    <row r="7" spans="1:2" x14ac:dyDescent="0.25">
      <c r="A7" s="4" t="s">
        <v>310</v>
      </c>
      <c r="B7" s="19">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HospitalData</vt:lpstr>
      <vt:lpstr>Dashboard</vt:lpstr>
      <vt:lpstr>Analysis</vt:lpstr>
      <vt:lpstr>Top 10 Diagnoses</vt:lpstr>
      <vt:lpstr>Monthly Admissions Trend</vt:lpstr>
      <vt:lpstr>Monthly Hospital Charges</vt:lpstr>
      <vt:lpstr>Ave LoS by Age Group</vt:lpstr>
      <vt:lpstr>Ave. Hosp. Charges by Age Group</vt:lpstr>
      <vt:lpstr>Admissions by Gender</vt:lpstr>
      <vt:lpstr>Total Hosp. Charges by Dx</vt:lpstr>
      <vt:lpstr>Ave. LoS by Diagnosis</vt:lpstr>
      <vt:lpstr>Px Count by LoS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Abaya</dc:creator>
  <cp:lastModifiedBy>Walter Abaya</cp:lastModifiedBy>
  <dcterms:created xsi:type="dcterms:W3CDTF">2026-10-06T14:27:43Z</dcterms:created>
  <dcterms:modified xsi:type="dcterms:W3CDTF">2026-10-06T14:54:23Z</dcterms:modified>
</cp:coreProperties>
</file>